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drawings/drawing4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9600" yWindow="-15" windowWidth="9645" windowHeight="11760"/>
  </bookViews>
  <sheets>
    <sheet name="Estimate" sheetId="2" r:id="rId1"/>
    <sheet name="Purchase Order" sheetId="1" r:id="rId2"/>
    <sheet name="Quote" sheetId="3" r:id="rId3"/>
    <sheet name="Invoice" sheetId="7" r:id="rId4"/>
    <sheet name="Labor" sheetId="5" r:id="rId5"/>
  </sheets>
  <definedNames>
    <definedName name="_xlnm.Print_Area" localSheetId="0">Estimate!$A$1:$K$48</definedName>
    <definedName name="_xlnm.Print_Area" localSheetId="3">Invoice!$A$1:$F$46</definedName>
    <definedName name="_xlnm.Print_Area" localSheetId="1">'Purchase Order'!$A$1:$F$48</definedName>
    <definedName name="_xlnm.Print_Area" localSheetId="2">Quote!$A$1:$F$48</definedName>
  </definedNames>
  <calcPr calcId="125725" iterateDelta="1E-4"/>
</workbook>
</file>

<file path=xl/calcChain.xml><?xml version="1.0" encoding="utf-8"?>
<calcChain xmlns="http://schemas.openxmlformats.org/spreadsheetml/2006/main">
  <c r="I39" i="2"/>
  <c r="J24"/>
  <c r="J25"/>
  <c r="J26"/>
  <c r="J27"/>
  <c r="J28"/>
  <c r="J29"/>
  <c r="J30"/>
  <c r="J31"/>
  <c r="J32"/>
  <c r="J33"/>
  <c r="J34"/>
  <c r="J35"/>
  <c r="J36"/>
  <c r="J37"/>
  <c r="J38"/>
  <c r="J23"/>
  <c r="I24"/>
  <c r="I25"/>
  <c r="I26"/>
  <c r="I27"/>
  <c r="I28"/>
  <c r="I29"/>
  <c r="I30"/>
  <c r="I31"/>
  <c r="I32"/>
  <c r="I33"/>
  <c r="I34"/>
  <c r="I35"/>
  <c r="I36"/>
  <c r="I37"/>
  <c r="I38"/>
  <c r="I23"/>
  <c r="D10" i="7" l="1"/>
  <c r="D11"/>
  <c r="D12"/>
  <c r="D13"/>
  <c r="D10" i="3"/>
  <c r="D11"/>
  <c r="D12"/>
  <c r="D13"/>
  <c r="E41" i="1" l="1"/>
  <c r="E42" i="7" l="1"/>
  <c r="E42" i="3"/>
  <c r="A43" i="7" l="1"/>
  <c r="D42"/>
  <c r="B38"/>
  <c r="B37"/>
  <c r="B36"/>
  <c r="B35"/>
  <c r="B34"/>
  <c r="B33"/>
  <c r="B32"/>
  <c r="B31"/>
  <c r="B30"/>
  <c r="B29"/>
  <c r="B28"/>
  <c r="B27"/>
  <c r="B26"/>
  <c r="B25"/>
  <c r="B24"/>
  <c r="B23"/>
  <c r="D20"/>
  <c r="B20"/>
  <c r="A20"/>
  <c r="A17"/>
  <c r="D6"/>
  <c r="A17" i="1"/>
  <c r="E20"/>
  <c r="C20"/>
  <c r="A20"/>
  <c r="A17" i="3"/>
  <c r="D20"/>
  <c r="B20"/>
  <c r="A20"/>
  <c r="B24"/>
  <c r="B25"/>
  <c r="B26"/>
  <c r="B27"/>
  <c r="B28"/>
  <c r="B29"/>
  <c r="B30"/>
  <c r="B31"/>
  <c r="B32"/>
  <c r="B33"/>
  <c r="B34"/>
  <c r="B35"/>
  <c r="B36"/>
  <c r="B37"/>
  <c r="B38"/>
  <c r="B23"/>
  <c r="D24" i="1"/>
  <c r="D25"/>
  <c r="D26"/>
  <c r="D27"/>
  <c r="D28"/>
  <c r="D29"/>
  <c r="D30"/>
  <c r="D31"/>
  <c r="D32"/>
  <c r="D33"/>
  <c r="D34"/>
  <c r="D35"/>
  <c r="D36"/>
  <c r="D37"/>
  <c r="D38"/>
  <c r="D23"/>
  <c r="C24"/>
  <c r="C25"/>
  <c r="C26"/>
  <c r="C27"/>
  <c r="C28"/>
  <c r="C29"/>
  <c r="C30"/>
  <c r="C31"/>
  <c r="C32"/>
  <c r="C33"/>
  <c r="C34"/>
  <c r="C35"/>
  <c r="C36"/>
  <c r="C37"/>
  <c r="C38"/>
  <c r="C23"/>
  <c r="B24"/>
  <c r="B25"/>
  <c r="B26"/>
  <c r="B27"/>
  <c r="B28"/>
  <c r="B29"/>
  <c r="B30"/>
  <c r="B31"/>
  <c r="B32"/>
  <c r="B33"/>
  <c r="B34"/>
  <c r="B35"/>
  <c r="B36"/>
  <c r="B37"/>
  <c r="B38"/>
  <c r="B23"/>
  <c r="D11"/>
  <c r="D12"/>
  <c r="D13"/>
  <c r="D14"/>
  <c r="D10"/>
  <c r="A37" i="7"/>
  <c r="A38"/>
  <c r="A36"/>
  <c r="A35"/>
  <c r="A34"/>
  <c r="A33"/>
  <c r="A32"/>
  <c r="A31"/>
  <c r="A30"/>
  <c r="A29"/>
  <c r="A28"/>
  <c r="A25" i="1"/>
  <c r="A26" i="7"/>
  <c r="A27"/>
  <c r="A24" i="1"/>
  <c r="A23"/>
  <c r="E23" s="1"/>
  <c r="D41"/>
  <c r="D42" i="3"/>
  <c r="E25" i="1" l="1"/>
  <c r="E24"/>
  <c r="A25" i="7"/>
  <c r="A24"/>
  <c r="A23"/>
  <c r="D15" i="5"/>
  <c r="D14"/>
  <c r="D13"/>
  <c r="D12"/>
  <c r="D11"/>
  <c r="D10"/>
  <c r="D9"/>
  <c r="D8"/>
  <c r="D7"/>
  <c r="D6"/>
  <c r="D5"/>
  <c r="D4"/>
  <c r="D3"/>
  <c r="D2"/>
  <c r="D16" l="1"/>
  <c r="A31" i="3"/>
  <c r="A31" i="1"/>
  <c r="E31" s="1"/>
  <c r="D38" i="7"/>
  <c r="E38" s="1"/>
  <c r="D37"/>
  <c r="E37" s="1"/>
  <c r="D36"/>
  <c r="E36" s="1"/>
  <c r="D35"/>
  <c r="E35" s="1"/>
  <c r="D34"/>
  <c r="E34" s="1"/>
  <c r="D33"/>
  <c r="E33" s="1"/>
  <c r="D32"/>
  <c r="E32" s="1"/>
  <c r="D30"/>
  <c r="E30" s="1"/>
  <c r="D29"/>
  <c r="E29" s="1"/>
  <c r="D28"/>
  <c r="E28" s="1"/>
  <c r="D27"/>
  <c r="E27" s="1"/>
  <c r="D26"/>
  <c r="E26" s="1"/>
  <c r="D25"/>
  <c r="E25" s="1"/>
  <c r="D24"/>
  <c r="E24" s="1"/>
  <c r="D6" i="3"/>
  <c r="A43"/>
  <c r="F6" i="2"/>
  <c r="D23" i="7"/>
  <c r="E23" s="1"/>
  <c r="B43" i="2"/>
  <c r="J41" l="1"/>
  <c r="D31" i="7"/>
  <c r="E31" s="1"/>
  <c r="E39" s="1"/>
  <c r="G31" i="2"/>
  <c r="A27" i="1"/>
  <c r="E27" s="1"/>
  <c r="G27" i="2"/>
  <c r="D27" i="3"/>
  <c r="D24"/>
  <c r="G24" i="2"/>
  <c r="A26" i="1"/>
  <c r="E26" s="1"/>
  <c r="D26" i="3"/>
  <c r="G26" i="2"/>
  <c r="A28" i="1"/>
  <c r="E28" s="1"/>
  <c r="D28" i="3"/>
  <c r="G28" i="2"/>
  <c r="A30" i="1"/>
  <c r="E30" s="1"/>
  <c r="D30" i="3"/>
  <c r="G30" i="2"/>
  <c r="A33" i="1"/>
  <c r="E33" s="1"/>
  <c r="G33" i="2"/>
  <c r="D33" i="3"/>
  <c r="A35" i="1"/>
  <c r="E35" s="1"/>
  <c r="G35" i="2"/>
  <c r="D35" i="3"/>
  <c r="A37" i="1"/>
  <c r="E37" s="1"/>
  <c r="G37" i="2"/>
  <c r="D37" i="3"/>
  <c r="G25" i="2"/>
  <c r="D25" i="3"/>
  <c r="A29" i="1"/>
  <c r="E29" s="1"/>
  <c r="G29" i="2"/>
  <c r="D29" i="3"/>
  <c r="A32" i="1"/>
  <c r="E32" s="1"/>
  <c r="D32" i="3"/>
  <c r="G32" i="2"/>
  <c r="A34" i="1"/>
  <c r="E34" s="1"/>
  <c r="D34" i="3"/>
  <c r="G34" i="2"/>
  <c r="A36" i="1"/>
  <c r="E36" s="1"/>
  <c r="D36" i="3"/>
  <c r="G36" i="2"/>
  <c r="A38" i="1"/>
  <c r="E38" s="1"/>
  <c r="D38" i="3"/>
  <c r="G38" i="2"/>
  <c r="G23"/>
  <c r="A38" i="3"/>
  <c r="E38" s="1"/>
  <c r="A34"/>
  <c r="E34" s="1"/>
  <c r="A36"/>
  <c r="A32"/>
  <c r="A37"/>
  <c r="A35"/>
  <c r="A33"/>
  <c r="A29"/>
  <c r="A27"/>
  <c r="A25"/>
  <c r="A30"/>
  <c r="A28"/>
  <c r="A26"/>
  <c r="A24"/>
  <c r="A23"/>
  <c r="A42" i="1"/>
  <c r="D6"/>
  <c r="E29" i="3" l="1"/>
  <c r="E35"/>
  <c r="E24"/>
  <c r="E32"/>
  <c r="E30"/>
  <c r="E36"/>
  <c r="E37"/>
  <c r="E33"/>
  <c r="E25"/>
  <c r="E27"/>
  <c r="E26"/>
  <c r="E28"/>
  <c r="E40" i="7"/>
  <c r="E41"/>
  <c r="E41" i="3"/>
  <c r="D31"/>
  <c r="E31" s="1"/>
  <c r="D23"/>
  <c r="E23" s="1"/>
  <c r="E39" i="1"/>
  <c r="E40" s="1"/>
  <c r="E39" i="3" l="1"/>
  <c r="E40" s="1"/>
  <c r="E43" i="7"/>
  <c r="J39" i="2"/>
  <c r="E42" i="1"/>
  <c r="J40" i="2" l="1"/>
  <c r="J43"/>
  <c r="E43" i="3"/>
</calcChain>
</file>

<file path=xl/sharedStrings.xml><?xml version="1.0" encoding="utf-8"?>
<sst xmlns="http://schemas.openxmlformats.org/spreadsheetml/2006/main" count="104" uniqueCount="47">
  <si>
    <t>DATE</t>
  </si>
  <si>
    <t>CUSTOMER ID</t>
  </si>
  <si>
    <t>UNIT PRICE</t>
  </si>
  <si>
    <t>SHIP TO</t>
  </si>
  <si>
    <t>QTY</t>
  </si>
  <si>
    <t>ITEM #</t>
  </si>
  <si>
    <t>LINE TOTAL</t>
  </si>
  <si>
    <t>SUBTOTAL</t>
  </si>
  <si>
    <t>SALES TAX</t>
  </si>
  <si>
    <t>TOTAL</t>
  </si>
  <si>
    <t>P.O. NO.</t>
  </si>
  <si>
    <t>SHIPPING METHOD</t>
  </si>
  <si>
    <t>DELIVERY DATE</t>
  </si>
  <si>
    <t>Authorized by</t>
  </si>
  <si>
    <t>1 Enterprise  Way</t>
  </si>
  <si>
    <t>508-555-1234</t>
  </si>
  <si>
    <t>orders@tatsu.com</t>
  </si>
  <si>
    <t>Description</t>
  </si>
  <si>
    <t>SHIPPING CONTRACT</t>
  </si>
  <si>
    <t>PURCHASE ORDER #</t>
  </si>
  <si>
    <t>SHIPPING</t>
  </si>
  <si>
    <t>TOTAL LABOR</t>
  </si>
  <si>
    <t>Total Labor Hours</t>
  </si>
  <si>
    <t>PC Qty</t>
  </si>
  <si>
    <t>DESCRIPTION</t>
  </si>
  <si>
    <t>QTY/PC</t>
  </si>
  <si>
    <t>SHIPPING TERMS</t>
  </si>
  <si>
    <t>ESTIMATE #</t>
  </si>
  <si>
    <t>LABOR</t>
  </si>
  <si>
    <t>QUOTE #</t>
  </si>
  <si>
    <t>Sales Tax</t>
  </si>
  <si>
    <t>Labor Rate</t>
  </si>
  <si>
    <t>MARKUP TOTAL</t>
  </si>
  <si>
    <t>Total</t>
  </si>
  <si>
    <t>Manhours</t>
  </si>
  <si>
    <t>Hours</t>
  </si>
  <si>
    <t>People</t>
  </si>
  <si>
    <t>Task</t>
  </si>
  <si>
    <t>MKUP %</t>
  </si>
  <si>
    <t>Upton, MA</t>
  </si>
  <si>
    <t>UPS</t>
  </si>
  <si>
    <t>UPS Brown</t>
  </si>
  <si>
    <t>30 Days ARO</t>
  </si>
  <si>
    <t>PAYMENT METHOD</t>
  </si>
  <si>
    <t>COD</t>
  </si>
  <si>
    <t>PROFIT</t>
  </si>
  <si>
    <t>TOTAL PROFIT</t>
  </si>
</sst>
</file>

<file path=xl/styles.xml><?xml version="1.0" encoding="utf-8"?>
<styleSheet xmlns="http://schemas.openxmlformats.org/spreadsheetml/2006/main">
  <numFmts count="5">
    <numFmt numFmtId="44" formatCode="_(&quot;$&quot;* #,##0.00_);_(&quot;$&quot;* \(#,##0.00\);_(&quot;$&quot;* &quot;-&quot;??_);_(@_)"/>
    <numFmt numFmtId="164" formatCode="[$-409]mmmm\ d\,\ yyyy;@"/>
    <numFmt numFmtId="165" formatCode="m/d/yy;@"/>
    <numFmt numFmtId="166" formatCode="000\-00\-0000"/>
    <numFmt numFmtId="167" formatCode="&quot;$&quot;#,##0.00"/>
  </numFmts>
  <fonts count="18">
    <font>
      <sz val="10"/>
      <name val="Arial"/>
    </font>
    <font>
      <sz val="8"/>
      <name val="Arial"/>
      <family val="2"/>
    </font>
    <font>
      <sz val="10"/>
      <name val="Trebuchet MS"/>
      <family val="2"/>
    </font>
    <font>
      <b/>
      <sz val="10"/>
      <name val="Trebuchet MS"/>
      <family val="2"/>
    </font>
    <font>
      <b/>
      <sz val="10"/>
      <color indexed="41"/>
      <name val="Trebuchet MS"/>
      <family val="2"/>
    </font>
    <font>
      <i/>
      <sz val="8"/>
      <name val="Trebuchet MS"/>
      <family val="2"/>
    </font>
    <font>
      <b/>
      <sz val="11"/>
      <name val="Trebuchet MS"/>
      <family val="2"/>
    </font>
    <font>
      <sz val="11"/>
      <name val="Arial"/>
      <family val="2"/>
    </font>
    <font>
      <b/>
      <sz val="8"/>
      <name val="Trebuchet MS"/>
      <family val="2"/>
    </font>
    <font>
      <sz val="8"/>
      <name val="Trebuchet MS"/>
      <family val="2"/>
    </font>
    <font>
      <sz val="9"/>
      <name val="Trebuchet MS"/>
      <family val="2"/>
    </font>
    <font>
      <i/>
      <sz val="6"/>
      <name val="Trebuchet MS"/>
      <family val="2"/>
    </font>
    <font>
      <sz val="7"/>
      <name val="Trebuchet MS"/>
      <family val="2"/>
    </font>
    <font>
      <b/>
      <sz val="7"/>
      <name val="Trebuchet MS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theme="4" tint="0.79998168889431442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46">
    <border>
      <left/>
      <right/>
      <top/>
      <bottom/>
      <diagonal/>
    </border>
    <border>
      <left style="thin">
        <color indexed="62"/>
      </left>
      <right style="thin">
        <color indexed="62"/>
      </right>
      <top style="medium">
        <color indexed="62"/>
      </top>
      <bottom style="thin">
        <color indexed="62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/>
      <right style="thin">
        <color indexed="62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2"/>
      </left>
      <right style="thin">
        <color indexed="62"/>
      </right>
      <top/>
      <bottom style="thin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2"/>
      </left>
      <right/>
      <top style="thin">
        <color indexed="62"/>
      </top>
      <bottom style="thin">
        <color indexed="62"/>
      </bottom>
      <diagonal/>
    </border>
    <border>
      <left/>
      <right style="thin">
        <color indexed="62"/>
      </right>
      <top style="medium">
        <color indexed="62"/>
      </top>
      <bottom style="thin">
        <color indexed="62"/>
      </bottom>
      <diagonal/>
    </border>
    <border>
      <left style="thin">
        <color indexed="62"/>
      </left>
      <right/>
      <top style="medium">
        <color indexed="62"/>
      </top>
      <bottom style="thin">
        <color indexed="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2"/>
      </left>
      <right/>
      <top style="medium">
        <color indexed="62"/>
      </top>
      <bottom/>
      <diagonal/>
    </border>
    <border>
      <left/>
      <right style="thin">
        <color indexed="62"/>
      </right>
      <top style="medium">
        <color indexed="62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theme="4" tint="-0.24994659260841701"/>
      </bottom>
      <diagonal/>
    </border>
    <border>
      <left style="thin">
        <color indexed="62"/>
      </left>
      <right/>
      <top style="thin">
        <color indexed="62"/>
      </top>
      <bottom style="thin">
        <color theme="4" tint="-0.24994659260841701"/>
      </bottom>
      <diagonal/>
    </border>
    <border>
      <left/>
      <right style="thin">
        <color indexed="62"/>
      </right>
      <top style="thin">
        <color indexed="62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/>
      <top style="thin">
        <color indexed="62"/>
      </top>
      <bottom style="thin">
        <color indexed="62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medium">
        <color theme="4" tint="-0.24994659260841701"/>
      </top>
      <bottom style="thin">
        <color theme="4" tint="-0.24994659260841701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62"/>
      </left>
      <right/>
      <top style="thin">
        <color indexed="62"/>
      </top>
      <bottom style="thin">
        <color indexed="62"/>
      </bottom>
      <diagonal/>
    </border>
    <border>
      <left/>
      <right style="thin">
        <color indexed="62"/>
      </right>
      <top style="thin">
        <color indexed="62"/>
      </top>
      <bottom style="thin">
        <color indexed="62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theme="4" tint="-0.24994659260841701"/>
      </left>
      <right/>
      <top style="medium">
        <color theme="4" tint="-0.24994659260841701"/>
      </top>
      <bottom style="thin">
        <color theme="4" tint="-0.24994659260841701"/>
      </bottom>
      <diagonal/>
    </border>
    <border>
      <left/>
      <right/>
      <top style="medium">
        <color theme="4" tint="-0.24994659260841701"/>
      </top>
      <bottom style="thin">
        <color theme="4" tint="-0.24994659260841701"/>
      </bottom>
      <diagonal/>
    </border>
    <border>
      <left/>
      <right style="thin">
        <color theme="4" tint="-0.24994659260841701"/>
      </right>
      <top style="medium">
        <color theme="4" tint="-0.24994659260841701"/>
      </top>
      <bottom style="thin">
        <color theme="4" tint="-0.24994659260841701"/>
      </bottom>
      <diagonal/>
    </border>
    <border>
      <left/>
      <right/>
      <top style="thin">
        <color theme="4" tint="-0.24994659260841701"/>
      </top>
      <bottom style="thin">
        <color theme="4" tint="-0.24994659260841701"/>
      </bottom>
      <diagonal/>
    </border>
  </borders>
  <cellStyleXfs count="5">
    <xf numFmtId="0" fontId="0" fillId="0" borderId="0"/>
    <xf numFmtId="0" fontId="14" fillId="0" borderId="0" applyNumberFormat="0" applyFill="0" applyBorder="0" applyAlignment="0" applyProtection="0">
      <alignment vertical="top"/>
      <protection locked="0"/>
    </xf>
    <xf numFmtId="0" fontId="15" fillId="0" borderId="0"/>
    <xf numFmtId="9" fontId="16" fillId="0" borderId="0" applyFont="0" applyFill="0" applyBorder="0" applyAlignment="0" applyProtection="0"/>
    <xf numFmtId="44" fontId="16" fillId="0" borderId="0" applyFont="0" applyFill="0" applyBorder="0" applyAlignment="0" applyProtection="0"/>
  </cellStyleXfs>
  <cellXfs count="238">
    <xf numFmtId="0" fontId="0" fillId="0" borderId="0" xfId="0"/>
    <xf numFmtId="0" fontId="2" fillId="0" borderId="0" xfId="0" applyFont="1" applyAlignment="1"/>
    <xf numFmtId="0" fontId="2" fillId="0" borderId="0" xfId="0" applyFont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/>
    <xf numFmtId="0" fontId="9" fillId="0" borderId="0" xfId="0" applyFont="1" applyAlignment="1">
      <alignment horizontal="right"/>
    </xf>
    <xf numFmtId="0" fontId="9" fillId="0" borderId="0" xfId="0" applyFont="1"/>
    <xf numFmtId="0" fontId="8" fillId="0" borderId="0" xfId="0" applyFont="1" applyAlignment="1">
      <alignment horizontal="right"/>
    </xf>
    <xf numFmtId="0" fontId="8" fillId="2" borderId="1" xfId="0" applyFont="1" applyFill="1" applyBorder="1" applyAlignment="1">
      <alignment horizontal="center" vertical="center"/>
    </xf>
    <xf numFmtId="165" fontId="8" fillId="2" borderId="1" xfId="0" applyNumberFormat="1" applyFont="1" applyFill="1" applyBorder="1" applyAlignment="1">
      <alignment horizontal="center" vertical="center"/>
    </xf>
    <xf numFmtId="0" fontId="9" fillId="0" borderId="2" xfId="0" applyNumberFormat="1" applyFont="1" applyFill="1" applyBorder="1" applyAlignment="1">
      <alignment horizontal="left"/>
    </xf>
    <xf numFmtId="0" fontId="9" fillId="0" borderId="0" xfId="0" applyNumberFormat="1" applyFont="1" applyBorder="1" applyAlignment="1"/>
    <xf numFmtId="44" fontId="10" fillId="3" borderId="2" xfId="0" applyNumberFormat="1" applyFont="1" applyFill="1" applyBorder="1" applyAlignment="1"/>
    <xf numFmtId="0" fontId="8" fillId="0" borderId="3" xfId="0" applyFont="1" applyFill="1" applyBorder="1" applyAlignment="1">
      <alignment horizontal="right"/>
    </xf>
    <xf numFmtId="44" fontId="8" fillId="4" borderId="0" xfId="0" applyNumberFormat="1" applyFont="1" applyFill="1" applyBorder="1" applyAlignment="1"/>
    <xf numFmtId="44" fontId="11" fillId="4" borderId="0" xfId="0" applyNumberFormat="1" applyFont="1" applyFill="1" applyBorder="1" applyAlignment="1">
      <alignment horizontal="left" vertical="center"/>
    </xf>
    <xf numFmtId="0" fontId="9" fillId="0" borderId="0" xfId="0" applyFont="1" applyAlignment="1">
      <alignment horizontal="left" indent="1"/>
    </xf>
    <xf numFmtId="44" fontId="9" fillId="3" borderId="2" xfId="0" applyNumberFormat="1" applyFont="1" applyFill="1" applyBorder="1" applyAlignment="1"/>
    <xf numFmtId="0" fontId="8" fillId="2" borderId="1" xfId="0" applyFont="1" applyFill="1" applyBorder="1" applyAlignment="1">
      <alignment horizontal="center" vertical="center"/>
    </xf>
    <xf numFmtId="0" fontId="0" fillId="0" borderId="0" xfId="0" applyAlignment="1"/>
    <xf numFmtId="0" fontId="9" fillId="0" borderId="0" xfId="0" applyFont="1" applyAlignment="1"/>
    <xf numFmtId="0" fontId="9" fillId="0" borderId="0" xfId="0" applyFont="1" applyAlignment="1">
      <alignment horizontal="right"/>
    </xf>
    <xf numFmtId="0" fontId="9" fillId="0" borderId="0" xfId="0" applyFont="1" applyAlignment="1">
      <alignment horizontal="left" wrapText="1"/>
    </xf>
    <xf numFmtId="167" fontId="9" fillId="0" borderId="2" xfId="0" applyNumberFormat="1" applyFont="1" applyFill="1" applyBorder="1" applyAlignment="1"/>
    <xf numFmtId="44" fontId="8" fillId="4" borderId="4" xfId="0" applyNumberFormat="1" applyFont="1" applyFill="1" applyBorder="1" applyAlignment="1">
      <alignment horizontal="center"/>
    </xf>
    <xf numFmtId="0" fontId="14" fillId="0" borderId="0" xfId="1" applyAlignment="1" applyProtection="1">
      <alignment horizontal="left" indent="1"/>
    </xf>
    <xf numFmtId="44" fontId="10" fillId="0" borderId="6" xfId="0" applyNumberFormat="1" applyFont="1" applyFill="1" applyBorder="1" applyAlignment="1"/>
    <xf numFmtId="0" fontId="2" fillId="0" borderId="0" xfId="2" applyFont="1"/>
    <xf numFmtId="0" fontId="3" fillId="0" borderId="0" xfId="2" applyFont="1" applyAlignment="1">
      <alignment horizontal="center"/>
    </xf>
    <xf numFmtId="0" fontId="4" fillId="0" borderId="0" xfId="2" applyFont="1" applyAlignment="1">
      <alignment horizontal="center"/>
    </xf>
    <xf numFmtId="44" fontId="8" fillId="4" borderId="0" xfId="2" applyNumberFormat="1" applyFont="1" applyFill="1" applyBorder="1" applyAlignment="1"/>
    <xf numFmtId="44" fontId="11" fillId="4" borderId="0" xfId="2" applyNumberFormat="1" applyFont="1" applyFill="1" applyBorder="1" applyAlignment="1">
      <alignment horizontal="left" vertical="center"/>
    </xf>
    <xf numFmtId="44" fontId="8" fillId="4" borderId="4" xfId="2" applyNumberFormat="1" applyFont="1" applyFill="1" applyBorder="1" applyAlignment="1"/>
    <xf numFmtId="0" fontId="2" fillId="0" borderId="0" xfId="2" applyFont="1" applyAlignment="1">
      <alignment horizontal="right"/>
    </xf>
    <xf numFmtId="0" fontId="9" fillId="0" borderId="7" xfId="2" applyNumberFormat="1" applyFont="1" applyBorder="1" applyAlignment="1"/>
    <xf numFmtId="167" fontId="9" fillId="0" borderId="9" xfId="2" applyNumberFormat="1" applyFont="1" applyBorder="1" applyAlignment="1">
      <alignment horizontal="center"/>
    </xf>
    <xf numFmtId="0" fontId="9" fillId="0" borderId="9" xfId="2" applyNumberFormat="1" applyFont="1" applyBorder="1" applyAlignment="1">
      <alignment horizontal="center"/>
    </xf>
    <xf numFmtId="0" fontId="9" fillId="0" borderId="9" xfId="2" applyNumberFormat="1" applyFont="1" applyBorder="1" applyAlignment="1">
      <alignment horizontal="left"/>
    </xf>
    <xf numFmtId="0" fontId="8" fillId="2" borderId="9" xfId="2" applyFont="1" applyFill="1" applyBorder="1" applyAlignment="1">
      <alignment horizontal="center" vertical="center"/>
    </xf>
    <xf numFmtId="0" fontId="15" fillId="0" borderId="12" xfId="2" applyBorder="1"/>
    <xf numFmtId="0" fontId="15" fillId="0" borderId="7" xfId="2" applyBorder="1"/>
    <xf numFmtId="0" fontId="2" fillId="0" borderId="7" xfId="2" applyFont="1" applyBorder="1"/>
    <xf numFmtId="0" fontId="9" fillId="0" borderId="9" xfId="2" applyNumberFormat="1" applyFont="1" applyFill="1" applyBorder="1" applyAlignment="1">
      <alignment horizontal="left"/>
    </xf>
    <xf numFmtId="1" fontId="9" fillId="0" borderId="9" xfId="2" applyNumberFormat="1" applyFont="1" applyFill="1" applyBorder="1" applyAlignment="1">
      <alignment horizontal="left"/>
    </xf>
    <xf numFmtId="165" fontId="8" fillId="2" borderId="9" xfId="2" applyNumberFormat="1" applyFont="1" applyFill="1" applyBorder="1" applyAlignment="1">
      <alignment horizontal="center" vertical="center"/>
    </xf>
    <xf numFmtId="0" fontId="15" fillId="0" borderId="0" xfId="2" applyAlignment="1"/>
    <xf numFmtId="165" fontId="9" fillId="0" borderId="0" xfId="2" applyNumberFormat="1" applyFont="1" applyFill="1" applyBorder="1" applyAlignment="1"/>
    <xf numFmtId="0" fontId="9" fillId="0" borderId="0" xfId="2" applyFont="1"/>
    <xf numFmtId="0" fontId="9" fillId="0" borderId="12" xfId="2" applyFont="1" applyBorder="1"/>
    <xf numFmtId="0" fontId="9" fillId="0" borderId="0" xfId="2" applyFont="1" applyAlignment="1">
      <alignment horizontal="left" indent="1"/>
    </xf>
    <xf numFmtId="0" fontId="9" fillId="0" borderId="0" xfId="2" applyFont="1" applyAlignment="1">
      <alignment horizontal="left"/>
    </xf>
    <xf numFmtId="0" fontId="8" fillId="0" borderId="0" xfId="2" applyFont="1" applyAlignment="1">
      <alignment horizontal="left" indent="1"/>
    </xf>
    <xf numFmtId="0" fontId="8" fillId="0" borderId="0" xfId="2" applyFont="1" applyAlignment="1">
      <alignment horizontal="right"/>
    </xf>
    <xf numFmtId="0" fontId="9" fillId="0" borderId="0" xfId="2" applyFont="1" applyAlignment="1">
      <alignment horizontal="right"/>
    </xf>
    <xf numFmtId="0" fontId="9" fillId="0" borderId="0" xfId="2" applyFont="1" applyAlignment="1"/>
    <xf numFmtId="0" fontId="2" fillId="0" borderId="0" xfId="2" applyFont="1" applyAlignment="1"/>
    <xf numFmtId="0" fontId="8" fillId="0" borderId="3" xfId="2" applyFont="1" applyFill="1" applyBorder="1" applyAlignment="1">
      <alignment horizontal="right"/>
    </xf>
    <xf numFmtId="0" fontId="9" fillId="0" borderId="0" xfId="2" applyNumberFormat="1" applyFont="1" applyBorder="1" applyAlignment="1"/>
    <xf numFmtId="44" fontId="10" fillId="0" borderId="6" xfId="2" applyNumberFormat="1" applyFont="1" applyFill="1" applyBorder="1" applyAlignment="1"/>
    <xf numFmtId="44" fontId="10" fillId="3" borderId="2" xfId="2" applyNumberFormat="1" applyFont="1" applyFill="1" applyBorder="1" applyAlignment="1"/>
    <xf numFmtId="44" fontId="9" fillId="3" borderId="2" xfId="2" applyNumberFormat="1" applyFont="1" applyFill="1" applyBorder="1" applyAlignment="1"/>
    <xf numFmtId="167" fontId="9" fillId="0" borderId="2" xfId="2" applyNumberFormat="1" applyFont="1" applyFill="1" applyBorder="1" applyAlignment="1"/>
    <xf numFmtId="0" fontId="8" fillId="2" borderId="1" xfId="2" applyFont="1" applyFill="1" applyBorder="1" applyAlignment="1">
      <alignment horizontal="center" vertical="center"/>
    </xf>
    <xf numFmtId="165" fontId="8" fillId="2" borderId="1" xfId="2" applyNumberFormat="1" applyFont="1" applyFill="1" applyBorder="1" applyAlignment="1">
      <alignment horizontal="center" vertical="center"/>
    </xf>
    <xf numFmtId="0" fontId="9" fillId="0" borderId="17" xfId="2" applyNumberFormat="1" applyFont="1" applyBorder="1" applyAlignment="1">
      <alignment horizontal="center"/>
    </xf>
    <xf numFmtId="0" fontId="8" fillId="2" borderId="19" xfId="2" applyFont="1" applyFill="1" applyBorder="1" applyAlignment="1">
      <alignment horizontal="center" vertical="center"/>
    </xf>
    <xf numFmtId="0" fontId="15" fillId="0" borderId="0" xfId="2"/>
    <xf numFmtId="0" fontId="8" fillId="0" borderId="0" xfId="2" applyFont="1" applyAlignment="1">
      <alignment horizontal="left" wrapText="1" indent="1"/>
    </xf>
    <xf numFmtId="0" fontId="5" fillId="0" borderId="0" xfId="2" applyFont="1" applyBorder="1" applyAlignment="1"/>
    <xf numFmtId="0" fontId="6" fillId="0" borderId="0" xfId="2" applyFont="1" applyBorder="1" applyAlignment="1"/>
    <xf numFmtId="1" fontId="9" fillId="0" borderId="2" xfId="0" applyNumberFormat="1" applyFont="1" applyFill="1" applyBorder="1" applyAlignment="1">
      <alignment horizontal="left"/>
    </xf>
    <xf numFmtId="1" fontId="9" fillId="0" borderId="2" xfId="2" applyNumberFormat="1" applyFont="1" applyFill="1" applyBorder="1" applyAlignment="1">
      <alignment horizontal="left"/>
    </xf>
    <xf numFmtId="0" fontId="0" fillId="0" borderId="0" xfId="0"/>
    <xf numFmtId="0" fontId="2" fillId="0" borderId="0" xfId="2" applyFont="1"/>
    <xf numFmtId="0" fontId="8" fillId="0" borderId="0" xfId="2" applyFont="1" applyAlignment="1">
      <alignment horizontal="right"/>
    </xf>
    <xf numFmtId="167" fontId="9" fillId="0" borderId="2" xfId="2" applyNumberFormat="1" applyFont="1" applyFill="1" applyBorder="1" applyAlignment="1"/>
    <xf numFmtId="0" fontId="0" fillId="0" borderId="0" xfId="0" applyAlignment="1">
      <alignment horizontal="center"/>
    </xf>
    <xf numFmtId="0" fontId="0" fillId="8" borderId="15" xfId="0" applyNumberFormat="1" applyFill="1" applyBorder="1"/>
    <xf numFmtId="0" fontId="0" fillId="6" borderId="11" xfId="0" applyFill="1" applyBorder="1"/>
    <xf numFmtId="0" fontId="0" fillId="6" borderId="10" xfId="0" applyFill="1" applyBorder="1" applyAlignment="1">
      <alignment horizontal="center"/>
    </xf>
    <xf numFmtId="0" fontId="0" fillId="7" borderId="11" xfId="0" applyFill="1" applyBorder="1"/>
    <xf numFmtId="0" fontId="0" fillId="7" borderId="10" xfId="0" applyFill="1" applyBorder="1" applyAlignment="1">
      <alignment horizontal="center"/>
    </xf>
    <xf numFmtId="0" fontId="0" fillId="7" borderId="15" xfId="0" applyFill="1" applyBorder="1"/>
    <xf numFmtId="0" fontId="0" fillId="7" borderId="20" xfId="0" applyFill="1" applyBorder="1" applyAlignment="1">
      <alignment horizontal="center"/>
    </xf>
    <xf numFmtId="0" fontId="15" fillId="8" borderId="20" xfId="0" applyFont="1" applyFill="1" applyBorder="1" applyAlignment="1">
      <alignment horizontal="center"/>
    </xf>
    <xf numFmtId="0" fontId="0" fillId="6" borderId="11" xfId="0" applyFill="1" applyBorder="1" applyAlignment="1">
      <alignment horizontal="right"/>
    </xf>
    <xf numFmtId="0" fontId="0" fillId="7" borderId="11" xfId="0" applyFill="1" applyBorder="1" applyAlignment="1">
      <alignment horizontal="right"/>
    </xf>
    <xf numFmtId="0" fontId="0" fillId="7" borderId="15" xfId="0" applyFill="1" applyBorder="1" applyAlignment="1">
      <alignment horizontal="right"/>
    </xf>
    <xf numFmtId="0" fontId="15" fillId="6" borderId="11" xfId="0" applyFont="1" applyFill="1" applyBorder="1" applyAlignment="1">
      <alignment horizontal="right"/>
    </xf>
    <xf numFmtId="0" fontId="15" fillId="7" borderId="11" xfId="0" applyFont="1" applyFill="1" applyBorder="1" applyAlignment="1">
      <alignment horizontal="right"/>
    </xf>
    <xf numFmtId="0" fontId="8" fillId="2" borderId="21" xfId="2" applyFont="1" applyFill="1" applyBorder="1" applyAlignment="1">
      <alignment horizontal="center" vertical="center"/>
    </xf>
    <xf numFmtId="0" fontId="8" fillId="2" borderId="22" xfId="2" applyFont="1" applyFill="1" applyBorder="1" applyAlignment="1">
      <alignment horizontal="center" vertical="center"/>
    </xf>
    <xf numFmtId="0" fontId="8" fillId="0" borderId="0" xfId="2" applyFont="1" applyFill="1" applyBorder="1" applyAlignment="1">
      <alignment horizontal="right"/>
    </xf>
    <xf numFmtId="0" fontId="8" fillId="0" borderId="0" xfId="2" applyFont="1" applyBorder="1" applyAlignment="1">
      <alignment horizontal="right"/>
    </xf>
    <xf numFmtId="44" fontId="10" fillId="0" borderId="21" xfId="2" applyNumberFormat="1" applyFont="1" applyFill="1" applyBorder="1" applyAlignment="1"/>
    <xf numFmtId="44" fontId="2" fillId="0" borderId="21" xfId="2" applyNumberFormat="1" applyFont="1" applyBorder="1"/>
    <xf numFmtId="0" fontId="9" fillId="0" borderId="22" xfId="0" applyNumberFormat="1" applyFont="1" applyFill="1" applyBorder="1" applyAlignment="1">
      <alignment horizontal="left"/>
    </xf>
    <xf numFmtId="44" fontId="10" fillId="9" borderId="2" xfId="0" applyNumberFormat="1" applyFont="1" applyFill="1" applyBorder="1" applyAlignment="1"/>
    <xf numFmtId="0" fontId="9" fillId="0" borderId="0" xfId="2" applyFont="1" applyAlignment="1">
      <alignment horizontal="left" indent="1"/>
    </xf>
    <xf numFmtId="0" fontId="9" fillId="0" borderId="0" xfId="2" applyFont="1" applyAlignment="1">
      <alignment horizontal="left" indent="1"/>
    </xf>
    <xf numFmtId="0" fontId="9" fillId="0" borderId="0" xfId="2" applyFont="1" applyAlignment="1">
      <alignment horizontal="right"/>
    </xf>
    <xf numFmtId="0" fontId="15" fillId="0" borderId="0" xfId="2" applyAlignment="1"/>
    <xf numFmtId="44" fontId="11" fillId="4" borderId="0" xfId="2" applyNumberFormat="1" applyFont="1" applyFill="1" applyBorder="1" applyAlignment="1">
      <alignment horizontal="left" vertical="center"/>
    </xf>
    <xf numFmtId="0" fontId="9" fillId="0" borderId="0" xfId="2" applyFont="1" applyAlignment="1">
      <alignment horizontal="left" indent="1"/>
    </xf>
    <xf numFmtId="0" fontId="6" fillId="0" borderId="0" xfId="2" applyFont="1" applyBorder="1" applyAlignment="1"/>
    <xf numFmtId="0" fontId="2" fillId="0" borderId="0" xfId="2" applyFont="1" applyAlignment="1"/>
    <xf numFmtId="0" fontId="5" fillId="0" borderId="0" xfId="2" applyFont="1" applyBorder="1" applyAlignment="1"/>
    <xf numFmtId="0" fontId="15" fillId="0" borderId="0" xfId="2" applyAlignment="1"/>
    <xf numFmtId="0" fontId="9" fillId="0" borderId="0" xfId="2" applyFont="1" applyAlignment="1">
      <alignment horizontal="left"/>
    </xf>
    <xf numFmtId="0" fontId="9" fillId="0" borderId="0" xfId="2" applyFont="1" applyAlignment="1">
      <alignment horizontal="right"/>
    </xf>
    <xf numFmtId="0" fontId="9" fillId="0" borderId="0" xfId="2" applyFont="1" applyAlignment="1"/>
    <xf numFmtId="0" fontId="14" fillId="0" borderId="0" xfId="1" applyAlignment="1" applyProtection="1">
      <alignment horizontal="left" indent="1"/>
    </xf>
    <xf numFmtId="0" fontId="8" fillId="2" borderId="1" xfId="2" applyFont="1" applyFill="1" applyBorder="1" applyAlignment="1">
      <alignment horizontal="center" vertical="center"/>
    </xf>
    <xf numFmtId="44" fontId="11" fillId="4" borderId="0" xfId="2" applyNumberFormat="1" applyFont="1" applyFill="1" applyBorder="1" applyAlignment="1">
      <alignment horizontal="left" vertical="center"/>
    </xf>
    <xf numFmtId="9" fontId="9" fillId="0" borderId="26" xfId="3" applyFont="1" applyFill="1" applyBorder="1" applyAlignment="1"/>
    <xf numFmtId="9" fontId="9" fillId="0" borderId="22" xfId="3" applyFont="1" applyFill="1" applyBorder="1" applyAlignment="1"/>
    <xf numFmtId="44" fontId="9" fillId="0" borderId="22" xfId="4" applyFont="1" applyFill="1" applyBorder="1" applyAlignment="1"/>
    <xf numFmtId="0" fontId="17" fillId="5" borderId="21" xfId="0" applyFont="1" applyFill="1" applyBorder="1" applyAlignment="1">
      <alignment horizontal="right"/>
    </xf>
    <xf numFmtId="0" fontId="17" fillId="5" borderId="21" xfId="0" applyFont="1" applyFill="1" applyBorder="1" applyAlignment="1">
      <alignment horizontal="center"/>
    </xf>
    <xf numFmtId="0" fontId="17" fillId="5" borderId="22" xfId="0" applyFont="1" applyFill="1" applyBorder="1" applyAlignment="1">
      <alignment horizontal="center"/>
    </xf>
    <xf numFmtId="0" fontId="17" fillId="5" borderId="21" xfId="0" applyNumberFormat="1" applyFont="1" applyFill="1" applyBorder="1" applyAlignment="1">
      <alignment horizontal="center"/>
    </xf>
    <xf numFmtId="44" fontId="3" fillId="10" borderId="21" xfId="2" applyNumberFormat="1" applyFont="1" applyFill="1" applyBorder="1" applyAlignment="1"/>
    <xf numFmtId="44" fontId="3" fillId="10" borderId="8" xfId="0" applyNumberFormat="1" applyFont="1" applyFill="1" applyBorder="1" applyAlignment="1"/>
    <xf numFmtId="44" fontId="3" fillId="10" borderId="8" xfId="2" applyNumberFormat="1" applyFont="1" applyFill="1" applyBorder="1" applyAlignment="1"/>
    <xf numFmtId="0" fontId="9" fillId="0" borderId="0" xfId="2" applyFont="1" applyAlignment="1">
      <alignment horizontal="right"/>
    </xf>
    <xf numFmtId="9" fontId="9" fillId="0" borderId="27" xfId="3" applyFont="1" applyFill="1" applyBorder="1" applyAlignment="1"/>
    <xf numFmtId="44" fontId="9" fillId="0" borderId="21" xfId="4" applyFont="1" applyFill="1" applyBorder="1" applyAlignment="1">
      <alignment horizontal="left" wrapText="1"/>
    </xf>
    <xf numFmtId="0" fontId="15" fillId="0" borderId="0" xfId="2" applyBorder="1"/>
    <xf numFmtId="1" fontId="9" fillId="0" borderId="28" xfId="2" applyNumberFormat="1" applyFont="1" applyFill="1" applyBorder="1" applyAlignment="1">
      <alignment horizontal="left"/>
    </xf>
    <xf numFmtId="0" fontId="8" fillId="2" borderId="35" xfId="0" applyFont="1" applyFill="1" applyBorder="1" applyAlignment="1">
      <alignment horizontal="center" vertical="center"/>
    </xf>
    <xf numFmtId="166" fontId="9" fillId="0" borderId="31" xfId="0" applyNumberFormat="1" applyFont="1" applyBorder="1" applyAlignment="1">
      <alignment horizontal="center"/>
    </xf>
    <xf numFmtId="0" fontId="0" fillId="0" borderId="0" xfId="0" applyBorder="1"/>
    <xf numFmtId="1" fontId="9" fillId="0" borderId="36" xfId="0" applyNumberFormat="1" applyFont="1" applyFill="1" applyBorder="1" applyAlignment="1">
      <alignment horizontal="left"/>
    </xf>
    <xf numFmtId="0" fontId="9" fillId="0" borderId="36" xfId="0" applyNumberFormat="1" applyFont="1" applyFill="1" applyBorder="1" applyAlignment="1">
      <alignment horizontal="left"/>
    </xf>
    <xf numFmtId="1" fontId="9" fillId="0" borderId="36" xfId="2" applyNumberFormat="1" applyFont="1" applyFill="1" applyBorder="1" applyAlignment="1">
      <alignment horizontal="left"/>
    </xf>
    <xf numFmtId="44" fontId="10" fillId="9" borderId="8" xfId="2" applyNumberFormat="1" applyFont="1" applyFill="1" applyBorder="1" applyAlignment="1"/>
    <xf numFmtId="44" fontId="2" fillId="0" borderId="31" xfId="2" applyNumberFormat="1" applyFont="1" applyBorder="1"/>
    <xf numFmtId="44" fontId="9" fillId="0" borderId="27" xfId="0" applyNumberFormat="1" applyFont="1" applyFill="1" applyBorder="1" applyAlignment="1"/>
    <xf numFmtId="1" fontId="9" fillId="0" borderId="21" xfId="2" applyNumberFormat="1" applyFont="1" applyFill="1" applyBorder="1" applyAlignment="1">
      <alignment horizontal="left"/>
    </xf>
    <xf numFmtId="0" fontId="9" fillId="0" borderId="21" xfId="2" applyNumberFormat="1" applyFont="1" applyFill="1" applyBorder="1" applyAlignment="1">
      <alignment horizontal="left"/>
    </xf>
    <xf numFmtId="44" fontId="9" fillId="0" borderId="14" xfId="4" applyFont="1" applyFill="1" applyBorder="1" applyAlignment="1"/>
    <xf numFmtId="9" fontId="9" fillId="0" borderId="14" xfId="3" applyFont="1" applyFill="1" applyBorder="1" applyAlignment="1"/>
    <xf numFmtId="0" fontId="8" fillId="2" borderId="1" xfId="2" applyFont="1" applyFill="1" applyBorder="1" applyAlignment="1">
      <alignment horizontal="center" vertical="center"/>
    </xf>
    <xf numFmtId="0" fontId="8" fillId="2" borderId="13" xfId="2" applyFont="1" applyFill="1" applyBorder="1" applyAlignment="1">
      <alignment horizontal="center" vertical="center"/>
    </xf>
    <xf numFmtId="0" fontId="9" fillId="0" borderId="13" xfId="2" applyNumberFormat="1" applyFont="1" applyBorder="1" applyAlignment="1">
      <alignment horizontal="left"/>
    </xf>
    <xf numFmtId="0" fontId="2" fillId="0" borderId="0" xfId="2" applyFont="1" applyBorder="1"/>
    <xf numFmtId="0" fontId="2" fillId="0" borderId="40" xfId="2" applyFont="1" applyBorder="1"/>
    <xf numFmtId="0" fontId="0" fillId="0" borderId="10" xfId="0" applyBorder="1"/>
    <xf numFmtId="166" fontId="9" fillId="0" borderId="41" xfId="2" applyNumberFormat="1" applyFont="1" applyBorder="1" applyAlignment="1">
      <alignment horizontal="center"/>
    </xf>
    <xf numFmtId="44" fontId="9" fillId="11" borderId="21" xfId="2" applyNumberFormat="1" applyFont="1" applyFill="1" applyBorder="1" applyAlignment="1"/>
    <xf numFmtId="44" fontId="9" fillId="6" borderId="21" xfId="2" applyNumberFormat="1" applyFont="1" applyFill="1" applyBorder="1" applyAlignment="1"/>
    <xf numFmtId="44" fontId="10" fillId="6" borderId="21" xfId="2" applyNumberFormat="1" applyFont="1" applyFill="1" applyBorder="1" applyAlignment="1"/>
    <xf numFmtId="0" fontId="9" fillId="0" borderId="0" xfId="2" applyFont="1" applyAlignment="1">
      <alignment horizontal="left" indent="1"/>
    </xf>
    <xf numFmtId="0" fontId="8" fillId="2" borderId="9" xfId="2" applyFont="1" applyFill="1" applyBorder="1" applyAlignment="1">
      <alignment horizontal="center" vertical="center"/>
    </xf>
    <xf numFmtId="0" fontId="8" fillId="2" borderId="22" xfId="2" applyFont="1" applyFill="1" applyBorder="1" applyAlignment="1">
      <alignment horizontal="center" vertical="center" wrapText="1"/>
    </xf>
    <xf numFmtId="0" fontId="8" fillId="2" borderId="25" xfId="2" applyFont="1" applyFill="1" applyBorder="1" applyAlignment="1">
      <alignment horizontal="center" vertical="center" wrapText="1"/>
    </xf>
    <xf numFmtId="0" fontId="8" fillId="2" borderId="26" xfId="2" applyFont="1" applyFill="1" applyBorder="1" applyAlignment="1">
      <alignment horizontal="center" vertical="center" wrapText="1"/>
    </xf>
    <xf numFmtId="0" fontId="8" fillId="2" borderId="9" xfId="2" applyFont="1" applyFill="1" applyBorder="1" applyAlignment="1">
      <alignment vertical="center" wrapText="1"/>
    </xf>
    <xf numFmtId="0" fontId="6" fillId="0" borderId="0" xfId="2" applyFont="1" applyBorder="1" applyAlignment="1"/>
    <xf numFmtId="0" fontId="7" fillId="0" borderId="0" xfId="2" applyFont="1" applyAlignment="1"/>
    <xf numFmtId="0" fontId="2" fillId="0" borderId="0" xfId="2" applyFont="1" applyAlignment="1"/>
    <xf numFmtId="0" fontId="5" fillId="0" borderId="0" xfId="2" applyFont="1" applyBorder="1" applyAlignment="1"/>
    <xf numFmtId="0" fontId="15" fillId="0" borderId="0" xfId="2" applyAlignment="1"/>
    <xf numFmtId="0" fontId="9" fillId="0" borderId="0" xfId="2" applyFont="1" applyAlignment="1">
      <alignment horizontal="left"/>
    </xf>
    <xf numFmtId="164" fontId="9" fillId="0" borderId="0" xfId="2" applyNumberFormat="1" applyFont="1" applyAlignment="1">
      <alignment horizontal="left" indent="1"/>
    </xf>
    <xf numFmtId="0" fontId="14" fillId="0" borderId="0" xfId="1" applyFont="1" applyAlignment="1" applyProtection="1">
      <alignment horizontal="left" indent="1"/>
    </xf>
    <xf numFmtId="0" fontId="9" fillId="0" borderId="0" xfId="2" applyFont="1" applyAlignment="1"/>
    <xf numFmtId="0" fontId="9" fillId="0" borderId="14" xfId="2" applyFont="1" applyFill="1" applyBorder="1" applyAlignment="1">
      <alignment horizontal="left" wrapText="1"/>
    </xf>
    <xf numFmtId="0" fontId="9" fillId="0" borderId="13" xfId="2" applyFont="1" applyFill="1" applyBorder="1" applyAlignment="1">
      <alignment horizontal="left" wrapText="1"/>
    </xf>
    <xf numFmtId="0" fontId="9" fillId="0" borderId="21" xfId="0" applyFont="1" applyFill="1" applyBorder="1" applyAlignment="1">
      <alignment horizontal="left" wrapText="1"/>
    </xf>
    <xf numFmtId="0" fontId="9" fillId="0" borderId="15" xfId="2" applyFont="1" applyFill="1" applyBorder="1" applyAlignment="1">
      <alignment horizontal="left" wrapText="1"/>
    </xf>
    <xf numFmtId="0" fontId="9" fillId="0" borderId="9" xfId="2" applyFont="1" applyFill="1" applyBorder="1" applyAlignment="1">
      <alignment horizontal="left" wrapText="1"/>
    </xf>
    <xf numFmtId="0" fontId="12" fillId="0" borderId="39" xfId="2" applyNumberFormat="1" applyFont="1" applyBorder="1" applyAlignment="1">
      <alignment horizontal="left" wrapText="1"/>
    </xf>
    <xf numFmtId="0" fontId="12" fillId="0" borderId="0" xfId="2" applyNumberFormat="1" applyFont="1" applyBorder="1" applyAlignment="1">
      <alignment horizontal="left" wrapText="1"/>
    </xf>
    <xf numFmtId="0" fontId="12" fillId="0" borderId="7" xfId="2" applyNumberFormat="1" applyFont="1" applyBorder="1" applyAlignment="1">
      <alignment horizontal="left" wrapText="1"/>
    </xf>
    <xf numFmtId="44" fontId="13" fillId="4" borderId="0" xfId="2" applyNumberFormat="1" applyFont="1" applyFill="1" applyBorder="1" applyAlignment="1">
      <alignment horizontal="center"/>
    </xf>
    <xf numFmtId="166" fontId="9" fillId="0" borderId="22" xfId="2" applyNumberFormat="1" applyFont="1" applyBorder="1" applyAlignment="1">
      <alignment horizontal="center"/>
    </xf>
    <xf numFmtId="166" fontId="9" fillId="0" borderId="12" xfId="2" applyNumberFormat="1" applyFont="1" applyBorder="1" applyAlignment="1">
      <alignment horizontal="center"/>
    </xf>
    <xf numFmtId="166" fontId="9" fillId="0" borderId="25" xfId="2" applyNumberFormat="1" applyFont="1" applyBorder="1" applyAlignment="1">
      <alignment horizontal="center"/>
    </xf>
    <xf numFmtId="0" fontId="9" fillId="0" borderId="12" xfId="2" applyFont="1" applyBorder="1" applyAlignment="1"/>
    <xf numFmtId="0" fontId="9" fillId="0" borderId="4" xfId="2" applyFont="1" applyBorder="1" applyAlignment="1"/>
    <xf numFmtId="0" fontId="9" fillId="0" borderId="0" xfId="2" applyFont="1" applyBorder="1" applyAlignment="1"/>
    <xf numFmtId="0" fontId="9" fillId="0" borderId="14" xfId="0" applyNumberFormat="1" applyFont="1" applyBorder="1" applyAlignment="1">
      <alignment horizontal="center"/>
    </xf>
    <xf numFmtId="0" fontId="9" fillId="0" borderId="25" xfId="0" applyNumberFormat="1" applyFont="1" applyBorder="1" applyAlignment="1">
      <alignment horizontal="center"/>
    </xf>
    <xf numFmtId="0" fontId="9" fillId="0" borderId="13" xfId="0" applyNumberFormat="1" applyFont="1" applyBorder="1" applyAlignment="1">
      <alignment horizontal="center"/>
    </xf>
    <xf numFmtId="0" fontId="8" fillId="2" borderId="16" xfId="2" applyFont="1" applyFill="1" applyBorder="1" applyAlignment="1">
      <alignment horizontal="center" vertical="center"/>
    </xf>
    <xf numFmtId="0" fontId="9" fillId="2" borderId="16" xfId="2" applyFont="1" applyFill="1" applyBorder="1" applyAlignment="1">
      <alignment horizontal="center" vertical="center"/>
    </xf>
    <xf numFmtId="0" fontId="9" fillId="0" borderId="14" xfId="2" applyNumberFormat="1" applyFont="1" applyBorder="1" applyAlignment="1">
      <alignment horizontal="center"/>
    </xf>
    <xf numFmtId="0" fontId="9" fillId="0" borderId="25" xfId="2" applyNumberFormat="1" applyFont="1" applyBorder="1" applyAlignment="1">
      <alignment horizontal="center"/>
    </xf>
    <xf numFmtId="0" fontId="9" fillId="0" borderId="13" xfId="2" applyNumberFormat="1" applyFont="1" applyBorder="1" applyAlignment="1">
      <alignment horizontal="center"/>
    </xf>
    <xf numFmtId="165" fontId="9" fillId="0" borderId="9" xfId="2" applyNumberFormat="1" applyFont="1" applyBorder="1" applyAlignment="1">
      <alignment horizontal="center"/>
    </xf>
    <xf numFmtId="0" fontId="5" fillId="0" borderId="0" xfId="0" applyFont="1" applyBorder="1" applyAlignment="1"/>
    <xf numFmtId="0" fontId="0" fillId="0" borderId="0" xfId="0" applyAlignment="1"/>
    <xf numFmtId="0" fontId="6" fillId="0" borderId="0" xfId="0" applyFont="1" applyBorder="1" applyAlignment="1"/>
    <xf numFmtId="0" fontId="7" fillId="0" borderId="0" xfId="0" applyFont="1" applyAlignment="1"/>
    <xf numFmtId="0" fontId="9" fillId="0" borderId="0" xfId="0" applyFont="1" applyAlignment="1">
      <alignment horizontal="left" indent="1"/>
    </xf>
    <xf numFmtId="164" fontId="9" fillId="0" borderId="0" xfId="0" applyNumberFormat="1" applyFont="1" applyAlignment="1">
      <alignment horizontal="left" indent="1"/>
    </xf>
    <xf numFmtId="166" fontId="9" fillId="0" borderId="0" xfId="0" applyNumberFormat="1" applyFont="1" applyAlignment="1">
      <alignment horizontal="left" indent="1"/>
    </xf>
    <xf numFmtId="0" fontId="2" fillId="0" borderId="0" xfId="0" applyFont="1" applyAlignment="1"/>
    <xf numFmtId="0" fontId="9" fillId="0" borderId="0" xfId="0" applyFont="1" applyAlignment="1">
      <alignment horizontal="left"/>
    </xf>
    <xf numFmtId="0" fontId="14" fillId="0" borderId="0" xfId="1" applyAlignment="1" applyProtection="1">
      <alignment horizontal="left" indent="1"/>
    </xf>
    <xf numFmtId="0" fontId="9" fillId="0" borderId="0" xfId="0" applyFont="1" applyAlignment="1"/>
    <xf numFmtId="44" fontId="11" fillId="4" borderId="0" xfId="0" applyNumberFormat="1" applyFont="1" applyFill="1" applyBorder="1" applyAlignment="1">
      <alignment horizontal="left" vertical="center"/>
    </xf>
    <xf numFmtId="44" fontId="13" fillId="4" borderId="0" xfId="0" applyNumberFormat="1" applyFont="1" applyFill="1" applyBorder="1" applyAlignment="1">
      <alignment horizontal="center"/>
    </xf>
    <xf numFmtId="0" fontId="12" fillId="0" borderId="0" xfId="0" applyNumberFormat="1" applyFont="1" applyBorder="1" applyAlignment="1">
      <alignment horizontal="left" wrapText="1"/>
    </xf>
    <xf numFmtId="0" fontId="8" fillId="2" borderId="35" xfId="0" applyFont="1" applyFill="1" applyBorder="1" applyAlignment="1">
      <alignment horizontal="center" vertical="center"/>
    </xf>
    <xf numFmtId="166" fontId="9" fillId="0" borderId="31" xfId="0" applyNumberFormat="1" applyFont="1" applyBorder="1" applyAlignment="1">
      <alignment horizontal="center"/>
    </xf>
    <xf numFmtId="165" fontId="9" fillId="0" borderId="0" xfId="0" applyNumberFormat="1" applyFont="1" applyFill="1" applyBorder="1" applyAlignment="1"/>
    <xf numFmtId="0" fontId="9" fillId="0" borderId="0" xfId="0" applyFont="1" applyBorder="1" applyAlignment="1"/>
    <xf numFmtId="0" fontId="9" fillId="0" borderId="4" xfId="0" applyFont="1" applyBorder="1" applyAlignment="1"/>
    <xf numFmtId="0" fontId="8" fillId="2" borderId="42" xfId="0" applyFont="1" applyFill="1" applyBorder="1" applyAlignment="1">
      <alignment horizontal="center" vertical="center"/>
    </xf>
    <xf numFmtId="0" fontId="8" fillId="2" borderId="43" xfId="0" applyFont="1" applyFill="1" applyBorder="1" applyAlignment="1">
      <alignment horizontal="center" vertical="center"/>
    </xf>
    <xf numFmtId="0" fontId="8" fillId="2" borderId="44" xfId="0" applyFont="1" applyFill="1" applyBorder="1" applyAlignment="1">
      <alignment horizontal="center" vertical="center"/>
    </xf>
    <xf numFmtId="166" fontId="9" fillId="0" borderId="33" xfId="0" applyNumberFormat="1" applyFont="1" applyBorder="1" applyAlignment="1">
      <alignment horizontal="center"/>
    </xf>
    <xf numFmtId="166" fontId="9" fillId="0" borderId="45" xfId="0" applyNumberFormat="1" applyFont="1" applyBorder="1" applyAlignment="1">
      <alignment horizontal="center"/>
    </xf>
    <xf numFmtId="166" fontId="9" fillId="0" borderId="34" xfId="0" applyNumberFormat="1" applyFont="1" applyBorder="1" applyAlignment="1">
      <alignment horizontal="center"/>
    </xf>
    <xf numFmtId="0" fontId="9" fillId="0" borderId="17" xfId="2" applyFont="1" applyFill="1" applyBorder="1" applyAlignment="1">
      <alignment horizontal="left" wrapText="1"/>
    </xf>
    <xf numFmtId="0" fontId="9" fillId="0" borderId="5" xfId="2" applyFont="1" applyFill="1" applyBorder="1" applyAlignment="1">
      <alignment horizontal="left" wrapText="1"/>
    </xf>
    <xf numFmtId="0" fontId="2" fillId="0" borderId="33" xfId="2" applyFont="1" applyBorder="1" applyAlignment="1">
      <alignment horizontal="center"/>
    </xf>
    <xf numFmtId="0" fontId="2" fillId="0" borderId="34" xfId="2" applyFont="1" applyBorder="1" applyAlignment="1">
      <alignment horizontal="center"/>
    </xf>
    <xf numFmtId="165" fontId="9" fillId="0" borderId="0" xfId="2" applyNumberFormat="1" applyFont="1" applyFill="1" applyBorder="1" applyAlignment="1"/>
    <xf numFmtId="0" fontId="8" fillId="2" borderId="23" xfId="2" applyFont="1" applyFill="1" applyBorder="1" applyAlignment="1">
      <alignment horizontal="center" vertical="center" wrapText="1"/>
    </xf>
    <xf numFmtId="0" fontId="8" fillId="2" borderId="24" xfId="2" applyFont="1" applyFill="1" applyBorder="1" applyAlignment="1">
      <alignment horizontal="center" vertical="center" wrapText="1"/>
    </xf>
    <xf numFmtId="165" fontId="9" fillId="0" borderId="17" xfId="2" applyNumberFormat="1" applyFont="1" applyBorder="1" applyAlignment="1">
      <alignment horizontal="center"/>
    </xf>
    <xf numFmtId="165" fontId="9" fillId="0" borderId="32" xfId="2" applyNumberFormat="1" applyFont="1" applyBorder="1" applyAlignment="1">
      <alignment horizontal="center"/>
    </xf>
    <xf numFmtId="0" fontId="8" fillId="2" borderId="1" xfId="2" applyFont="1" applyFill="1" applyBorder="1" applyAlignment="1">
      <alignment horizontal="center" vertical="center"/>
    </xf>
    <xf numFmtId="0" fontId="9" fillId="2" borderId="1" xfId="2" applyFont="1" applyFill="1" applyBorder="1" applyAlignment="1">
      <alignment horizontal="center" vertical="center"/>
    </xf>
    <xf numFmtId="0" fontId="8" fillId="2" borderId="19" xfId="2" applyFont="1" applyFill="1" applyBorder="1" applyAlignment="1">
      <alignment horizontal="center" vertical="center" wrapText="1"/>
    </xf>
    <xf numFmtId="0" fontId="8" fillId="2" borderId="18" xfId="2" applyFont="1" applyFill="1" applyBorder="1" applyAlignment="1">
      <alignment horizontal="center" vertical="center" wrapText="1"/>
    </xf>
    <xf numFmtId="0" fontId="9" fillId="0" borderId="0" xfId="2" applyFont="1" applyAlignment="1">
      <alignment horizontal="right"/>
    </xf>
    <xf numFmtId="44" fontId="8" fillId="4" borderId="4" xfId="2" applyNumberFormat="1" applyFont="1" applyFill="1" applyBorder="1" applyAlignment="1">
      <alignment horizontal="center"/>
    </xf>
    <xf numFmtId="44" fontId="11" fillId="4" borderId="0" xfId="2" applyNumberFormat="1" applyFont="1" applyFill="1" applyBorder="1" applyAlignment="1">
      <alignment horizontal="left" vertical="center"/>
    </xf>
    <xf numFmtId="0" fontId="12" fillId="0" borderId="0" xfId="2" applyNumberFormat="1" applyFont="1" applyBorder="1" applyAlignment="1">
      <alignment horizontal="left"/>
    </xf>
    <xf numFmtId="0" fontId="9" fillId="0" borderId="29" xfId="2" applyFont="1" applyFill="1" applyBorder="1" applyAlignment="1">
      <alignment horizontal="left" wrapText="1"/>
    </xf>
    <xf numFmtId="0" fontId="9" fillId="0" borderId="30" xfId="2" applyFont="1" applyFill="1" applyBorder="1" applyAlignment="1">
      <alignment horizontal="left" wrapText="1"/>
    </xf>
    <xf numFmtId="0" fontId="9" fillId="0" borderId="37" xfId="2" applyFont="1" applyFill="1" applyBorder="1" applyAlignment="1">
      <alignment horizontal="left" wrapText="1"/>
    </xf>
    <xf numFmtId="0" fontId="9" fillId="0" borderId="38" xfId="2" applyFont="1" applyFill="1" applyBorder="1" applyAlignment="1">
      <alignment horizontal="left" wrapText="1"/>
    </xf>
  </cellXfs>
  <cellStyles count="5">
    <cellStyle name="Currency" xfId="4" builtinId="4"/>
    <cellStyle name="Hyperlink" xfId="1" builtinId="8"/>
    <cellStyle name="Normal" xfId="0" builtinId="0"/>
    <cellStyle name="Normal 2" xfId="2"/>
    <cellStyle name="Percent" xfId="3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6D4E8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CECEC"/>
      <rgbColor rgb="00E4EAF4"/>
      <rgbColor rgb="00CCFFCC"/>
      <rgbColor rgb="00FFFF99"/>
      <rgbColor rgb="00D9D9D9"/>
      <rgbColor rgb="00FF99CC"/>
      <rgbColor rgb="00969696"/>
      <rgbColor rgb="00FFCC99"/>
      <rgbColor rgb="003366FF"/>
      <rgbColor rgb="0033CCCC"/>
      <rgbColor rgb="0099CC00"/>
      <rgbColor rgb="00FFCC00"/>
      <rgbColor rgb="00FF9900"/>
      <rgbColor rgb="00FF6600"/>
      <rgbColor rgb="003B5E91"/>
      <rgbColor rgb="00969696"/>
      <rgbColor rgb="00003366"/>
      <rgbColor rgb="00339966"/>
      <rgbColor rgb="00003300"/>
      <rgbColor rgb="00333300"/>
      <rgbColor rgb="00993300"/>
      <rgbColor rgb="00EFEFEF"/>
      <rgbColor rgb="003B5E91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94163</xdr:colOff>
      <xdr:row>0</xdr:row>
      <xdr:rowOff>57151</xdr:rowOff>
    </xdr:from>
    <xdr:to>
      <xdr:col>2</xdr:col>
      <xdr:colOff>261089</xdr:colOff>
      <xdr:row>3</xdr:row>
      <xdr:rowOff>47626</xdr:rowOff>
    </xdr:to>
    <xdr:pic>
      <xdr:nvPicPr>
        <xdr:cNvPr id="4" name="Picture 1" descr="template_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94163" y="57151"/>
          <a:ext cx="1386126" cy="476250"/>
        </a:xfrm>
        <a:prstGeom prst="rect">
          <a:avLst/>
        </a:prstGeom>
        <a:ln>
          <a:noFill/>
        </a:ln>
        <a:effectLst>
          <a:reflection blurRad="12700" stA="30000" endPos="30000" dist="5000" dir="5400000" sy="-100000" algn="bl" rotWithShape="0"/>
        </a:effectLst>
        <a:scene3d>
          <a:camera prst="perspectiveContrastingLeftFacing">
            <a:rot lat="300000" lon="19800000" rev="0"/>
          </a:camera>
          <a:lightRig rig="threePt" dir="t">
            <a:rot lat="0" lon="0" rev="2700000"/>
          </a:lightRig>
        </a:scene3d>
        <a:sp3d>
          <a:bevelT w="63500" h="50800"/>
        </a:sp3d>
      </xdr:spPr>
    </xdr:pic>
    <xdr:clientData/>
  </xdr:twoCellAnchor>
  <xdr:twoCellAnchor editAs="absolute">
    <xdr:from>
      <xdr:col>3</xdr:col>
      <xdr:colOff>57150</xdr:colOff>
      <xdr:row>0</xdr:row>
      <xdr:rowOff>104775</xdr:rowOff>
    </xdr:from>
    <xdr:to>
      <xdr:col>5</xdr:col>
      <xdr:colOff>838199</xdr:colOff>
      <xdr:row>0</xdr:row>
      <xdr:rowOff>523875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2438400" y="104775"/>
          <a:ext cx="1828799" cy="57150"/>
        </a:xfrm>
        <a:prstGeom prst="rect">
          <a:avLst/>
        </a:prstGeom>
        <a:solidFill>
          <a:srgbClr val="FFFFFF">
            <a:alpha val="0"/>
          </a:srgbClr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r" rtl="0">
            <a:defRPr sz="1000"/>
          </a:pPr>
          <a:r>
            <a:rPr lang="en-US" sz="2000" b="1" i="0" u="none" strike="noStrike" baseline="0">
              <a:solidFill>
                <a:srgbClr val="3B5E91"/>
              </a:solidFill>
              <a:latin typeface="Trebuchet MS"/>
            </a:rPr>
            <a:t>Estimate</a:t>
          </a:r>
        </a:p>
      </xdr:txBody>
    </xdr:sp>
    <xdr:clientData/>
  </xdr:twoCellAnchor>
  <xdr:twoCellAnchor>
    <xdr:from>
      <xdr:col>2</xdr:col>
      <xdr:colOff>0</xdr:colOff>
      <xdr:row>2</xdr:row>
      <xdr:rowOff>95250</xdr:rowOff>
    </xdr:from>
    <xdr:to>
      <xdr:col>3</xdr:col>
      <xdr:colOff>171450</xdr:colOff>
      <xdr:row>3</xdr:row>
      <xdr:rowOff>57150</xdr:rowOff>
    </xdr:to>
    <xdr:sp macro="" textlink="">
      <xdr:nvSpPr>
        <xdr:cNvPr id="6" name="Text Box 5"/>
        <xdr:cNvSpPr txBox="1">
          <a:spLocks noChangeArrowheads="1"/>
        </xdr:cNvSpPr>
      </xdr:nvSpPr>
      <xdr:spPr bwMode="auto">
        <a:xfrm>
          <a:off x="1219200" y="419100"/>
          <a:ext cx="781050" cy="123825"/>
        </a:xfrm>
        <a:prstGeom prst="rect">
          <a:avLst/>
        </a:prstGeom>
        <a:solidFill>
          <a:srgbClr val="FFFFFF">
            <a:alpha val="0"/>
          </a:srgbClr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2</xdr:col>
      <xdr:colOff>581025</xdr:colOff>
      <xdr:row>0</xdr:row>
      <xdr:rowOff>114300</xdr:rowOff>
    </xdr:from>
    <xdr:to>
      <xdr:col>5</xdr:col>
      <xdr:colOff>619125</xdr:colOff>
      <xdr:row>1</xdr:row>
      <xdr:rowOff>161925</xdr:rowOff>
    </xdr:to>
    <xdr:sp macro="" textlink="">
      <xdr:nvSpPr>
        <xdr:cNvPr id="7" name="Text Box 4"/>
        <xdr:cNvSpPr txBox="1">
          <a:spLocks noChangeArrowheads="1"/>
        </xdr:cNvSpPr>
      </xdr:nvSpPr>
      <xdr:spPr bwMode="auto">
        <a:xfrm>
          <a:off x="1800225" y="114300"/>
          <a:ext cx="1857375" cy="209550"/>
        </a:xfrm>
        <a:prstGeom prst="rect">
          <a:avLst/>
        </a:prstGeom>
        <a:solidFill>
          <a:srgbClr val="FFFFFF">
            <a:alpha val="0"/>
          </a:srgbClr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Trebuchet MS"/>
            </a:rPr>
            <a:t>Tatsu Technology</a:t>
          </a:r>
        </a:p>
        <a:p>
          <a:pPr algn="l" rtl="0">
            <a:defRPr sz="1000"/>
          </a:pPr>
          <a:r>
            <a:rPr lang="en-US" sz="900" b="0" i="1" u="none" strike="noStrike" baseline="0">
              <a:solidFill>
                <a:srgbClr val="000000"/>
              </a:solidFill>
              <a:latin typeface="Trebuchet MS"/>
            </a:rPr>
            <a:t>Wise. Fast. Simple.</a:t>
          </a:r>
        </a:p>
      </xdr:txBody>
    </xdr:sp>
    <xdr:clientData/>
  </xdr:twoCellAnchor>
  <xdr:twoCellAnchor>
    <xdr:from>
      <xdr:col>3</xdr:col>
      <xdr:colOff>352425</xdr:colOff>
      <xdr:row>2</xdr:row>
      <xdr:rowOff>95250</xdr:rowOff>
    </xdr:from>
    <xdr:to>
      <xdr:col>5</xdr:col>
      <xdr:colOff>171450</xdr:colOff>
      <xdr:row>3</xdr:row>
      <xdr:rowOff>57150</xdr:rowOff>
    </xdr:to>
    <xdr:sp macro="" textlink="">
      <xdr:nvSpPr>
        <xdr:cNvPr id="8" name="Text Box 5"/>
        <xdr:cNvSpPr txBox="1">
          <a:spLocks noChangeArrowheads="1"/>
        </xdr:cNvSpPr>
      </xdr:nvSpPr>
      <xdr:spPr bwMode="auto">
        <a:xfrm>
          <a:off x="2181225" y="419100"/>
          <a:ext cx="1038225" cy="123825"/>
        </a:xfrm>
        <a:prstGeom prst="rect">
          <a:avLst/>
        </a:prstGeom>
        <a:solidFill>
          <a:srgbClr val="FFFFFF">
            <a:alpha val="0"/>
          </a:srgbClr>
        </a:solidFill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94163</xdr:colOff>
      <xdr:row>0</xdr:row>
      <xdr:rowOff>57151</xdr:rowOff>
    </xdr:from>
    <xdr:to>
      <xdr:col>1</xdr:col>
      <xdr:colOff>356339</xdr:colOff>
      <xdr:row>3</xdr:row>
      <xdr:rowOff>47626</xdr:rowOff>
    </xdr:to>
    <xdr:pic>
      <xdr:nvPicPr>
        <xdr:cNvPr id="1025" name="Picture 1" descr="template_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94163" y="57151"/>
          <a:ext cx="1109901" cy="952500"/>
        </a:xfrm>
        <a:prstGeom prst="rect">
          <a:avLst/>
        </a:prstGeom>
        <a:ln>
          <a:noFill/>
        </a:ln>
        <a:effectLst>
          <a:reflection blurRad="12700" stA="30000" endPos="30000" dist="5000" dir="5400000" sy="-100000" algn="bl" rotWithShape="0"/>
        </a:effectLst>
        <a:scene3d>
          <a:camera prst="perspectiveContrastingLeftFacing">
            <a:rot lat="300000" lon="19800000" rev="0"/>
          </a:camera>
          <a:lightRig rig="threePt" dir="t">
            <a:rot lat="0" lon="0" rev="2700000"/>
          </a:lightRig>
        </a:scene3d>
        <a:sp3d>
          <a:bevelT w="63500" h="50800"/>
        </a:sp3d>
      </xdr:spPr>
    </xdr:pic>
    <xdr:clientData/>
  </xdr:twoCellAnchor>
  <xdr:twoCellAnchor editAs="absolute">
    <xdr:from>
      <xdr:col>2</xdr:col>
      <xdr:colOff>447675</xdr:colOff>
      <xdr:row>0</xdr:row>
      <xdr:rowOff>104775</xdr:rowOff>
    </xdr:from>
    <xdr:to>
      <xdr:col>4</xdr:col>
      <xdr:colOff>771524</xdr:colOff>
      <xdr:row>0</xdr:row>
      <xdr:rowOff>523875</xdr:rowOff>
    </xdr:to>
    <xdr:sp macro="" textlink="">
      <xdr:nvSpPr>
        <xdr:cNvPr id="1027" name="Text Box 3"/>
        <xdr:cNvSpPr txBox="1">
          <a:spLocks noChangeArrowheads="1"/>
        </xdr:cNvSpPr>
      </xdr:nvSpPr>
      <xdr:spPr bwMode="auto">
        <a:xfrm>
          <a:off x="2724150" y="104775"/>
          <a:ext cx="2705099" cy="419100"/>
        </a:xfrm>
        <a:prstGeom prst="rect">
          <a:avLst/>
        </a:prstGeom>
        <a:solidFill>
          <a:srgbClr val="FFFFFF">
            <a:alpha val="0"/>
          </a:srgbClr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r" rtl="0">
            <a:defRPr sz="1000"/>
          </a:pPr>
          <a:r>
            <a:rPr lang="en-US" sz="2000" b="1" i="0" u="none" strike="noStrike" baseline="0">
              <a:solidFill>
                <a:srgbClr val="3B5E91"/>
              </a:solidFill>
              <a:latin typeface="Trebuchet MS"/>
            </a:rPr>
            <a:t>PURCHASE ORDER</a:t>
          </a:r>
        </a:p>
      </xdr:txBody>
    </xdr:sp>
    <xdr:clientData/>
  </xdr:twoCellAnchor>
  <xdr:twoCellAnchor>
    <xdr:from>
      <xdr:col>1</xdr:col>
      <xdr:colOff>581025</xdr:colOff>
      <xdr:row>0</xdr:row>
      <xdr:rowOff>114300</xdr:rowOff>
    </xdr:from>
    <xdr:to>
      <xdr:col>3</xdr:col>
      <xdr:colOff>619125</xdr:colOff>
      <xdr:row>1</xdr:row>
      <xdr:rowOff>161925</xdr:rowOff>
    </xdr:to>
    <xdr:sp macro="" textlink="">
      <xdr:nvSpPr>
        <xdr:cNvPr id="1028" name="Text Box 4"/>
        <xdr:cNvSpPr txBox="1">
          <a:spLocks noChangeArrowheads="1"/>
        </xdr:cNvSpPr>
      </xdr:nvSpPr>
      <xdr:spPr bwMode="auto">
        <a:xfrm>
          <a:off x="1428750" y="114300"/>
          <a:ext cx="2590800" cy="590550"/>
        </a:xfrm>
        <a:prstGeom prst="rect">
          <a:avLst/>
        </a:prstGeom>
        <a:solidFill>
          <a:srgbClr val="FFFFFF">
            <a:alpha val="0"/>
          </a:srgbClr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Trebuchet MS"/>
            </a:rPr>
            <a:t>Tatsu Technology</a:t>
          </a:r>
        </a:p>
        <a:p>
          <a:pPr algn="l" rtl="0">
            <a:defRPr sz="1000"/>
          </a:pPr>
          <a:r>
            <a:rPr lang="en-US" sz="900" b="0" i="1" u="none" strike="noStrike" baseline="0">
              <a:solidFill>
                <a:srgbClr val="000000"/>
              </a:solidFill>
              <a:latin typeface="Trebuchet MS"/>
            </a:rPr>
            <a:t>Wise. Fast. Simple.</a:t>
          </a:r>
        </a:p>
      </xdr:txBody>
    </xdr:sp>
    <xdr:clientData/>
  </xdr:twoCellAnchor>
  <xdr:twoCellAnchor>
    <xdr:from>
      <xdr:col>2</xdr:col>
      <xdr:colOff>0</xdr:colOff>
      <xdr:row>2</xdr:row>
      <xdr:rowOff>95250</xdr:rowOff>
    </xdr:from>
    <xdr:to>
      <xdr:col>3</xdr:col>
      <xdr:colOff>171450</xdr:colOff>
      <xdr:row>3</xdr:row>
      <xdr:rowOff>57150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>
          <a:off x="2047875" y="847725"/>
          <a:ext cx="1524000" cy="171450"/>
        </a:xfrm>
        <a:prstGeom prst="rect">
          <a:avLst/>
        </a:prstGeom>
        <a:solidFill>
          <a:srgbClr val="FFFFFF">
            <a:alpha val="0"/>
          </a:srgbClr>
        </a:solidFill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75113</xdr:colOff>
      <xdr:row>0</xdr:row>
      <xdr:rowOff>66675</xdr:rowOff>
    </xdr:from>
    <xdr:to>
      <xdr:col>1</xdr:col>
      <xdr:colOff>38100</xdr:colOff>
      <xdr:row>3</xdr:row>
      <xdr:rowOff>127359</xdr:rowOff>
    </xdr:to>
    <xdr:pic>
      <xdr:nvPicPr>
        <xdr:cNvPr id="4" name="Picture 1" descr="template_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75113" y="66675"/>
          <a:ext cx="572587" cy="546459"/>
        </a:xfrm>
        <a:prstGeom prst="rect">
          <a:avLst/>
        </a:prstGeom>
        <a:ln>
          <a:noFill/>
        </a:ln>
        <a:effectLst>
          <a:reflection blurRad="12700" stA="30000" endPos="30000" dist="5000" dir="5400000" sy="-100000" algn="bl" rotWithShape="0"/>
        </a:effectLst>
        <a:scene3d>
          <a:camera prst="perspectiveContrastingLeftFacing">
            <a:rot lat="300000" lon="19800000" rev="0"/>
          </a:camera>
          <a:lightRig rig="threePt" dir="t">
            <a:rot lat="0" lon="0" rev="2700000"/>
          </a:lightRig>
        </a:scene3d>
        <a:sp3d>
          <a:bevelT w="63500" h="50800"/>
        </a:sp3d>
      </xdr:spPr>
    </xdr:pic>
    <xdr:clientData/>
  </xdr:twoCellAnchor>
  <xdr:twoCellAnchor editAs="absolute">
    <xdr:from>
      <xdr:col>2</xdr:col>
      <xdr:colOff>457200</xdr:colOff>
      <xdr:row>0</xdr:row>
      <xdr:rowOff>9525</xdr:rowOff>
    </xdr:from>
    <xdr:to>
      <xdr:col>5</xdr:col>
      <xdr:colOff>66675</xdr:colOff>
      <xdr:row>0</xdr:row>
      <xdr:rowOff>485775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1676400" y="9525"/>
          <a:ext cx="1847850" cy="152400"/>
        </a:xfrm>
        <a:prstGeom prst="rect">
          <a:avLst/>
        </a:prstGeom>
        <a:solidFill>
          <a:srgbClr val="FFFFFF">
            <a:alpha val="0"/>
          </a:srgbClr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r" rtl="0">
            <a:defRPr sz="1000"/>
          </a:pPr>
          <a:r>
            <a:rPr lang="en-US" sz="2000" b="1" i="0" u="none" strike="noStrike" baseline="0">
              <a:solidFill>
                <a:srgbClr val="3B5E91"/>
              </a:solidFill>
              <a:latin typeface="Trebuchet MS"/>
            </a:rPr>
            <a:t>Quote</a:t>
          </a:r>
        </a:p>
      </xdr:txBody>
    </xdr:sp>
    <xdr:clientData/>
  </xdr:twoCellAnchor>
  <xdr:twoCellAnchor>
    <xdr:from>
      <xdr:col>1</xdr:col>
      <xdr:colOff>762000</xdr:colOff>
      <xdr:row>0</xdr:row>
      <xdr:rowOff>133350</xdr:rowOff>
    </xdr:from>
    <xdr:to>
      <xdr:col>4</xdr:col>
      <xdr:colOff>533400</xdr:colOff>
      <xdr:row>1</xdr:row>
      <xdr:rowOff>180975</xdr:rowOff>
    </xdr:to>
    <xdr:sp macro="" textlink="">
      <xdr:nvSpPr>
        <xdr:cNvPr id="6" name="Text Box 4"/>
        <xdr:cNvSpPr txBox="1">
          <a:spLocks noChangeArrowheads="1"/>
        </xdr:cNvSpPr>
      </xdr:nvSpPr>
      <xdr:spPr bwMode="auto">
        <a:xfrm>
          <a:off x="1219200" y="133350"/>
          <a:ext cx="1752600" cy="190500"/>
        </a:xfrm>
        <a:prstGeom prst="rect">
          <a:avLst/>
        </a:prstGeom>
        <a:solidFill>
          <a:srgbClr val="FFFFFF">
            <a:alpha val="0"/>
          </a:srgbClr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Trebuchet MS"/>
            </a:rPr>
            <a:t>Tatsu Technology</a:t>
          </a:r>
        </a:p>
        <a:p>
          <a:pPr algn="l" rtl="0">
            <a:defRPr sz="1000"/>
          </a:pPr>
          <a:r>
            <a:rPr lang="en-US" sz="900" b="0" i="1" u="none" strike="noStrike" baseline="0">
              <a:solidFill>
                <a:srgbClr val="000000"/>
              </a:solidFill>
              <a:latin typeface="Trebuchet MS"/>
            </a:rPr>
            <a:t>Wise. Fast. Simple.</a:t>
          </a:r>
        </a:p>
      </xdr:txBody>
    </xdr:sp>
    <xdr:clientData/>
  </xdr:twoCellAnchor>
  <xdr:twoCellAnchor>
    <xdr:from>
      <xdr:col>1</xdr:col>
      <xdr:colOff>352425</xdr:colOff>
      <xdr:row>2</xdr:row>
      <xdr:rowOff>95250</xdr:rowOff>
    </xdr:from>
    <xdr:to>
      <xdr:col>3</xdr:col>
      <xdr:colOff>171450</xdr:colOff>
      <xdr:row>3</xdr:row>
      <xdr:rowOff>57150</xdr:rowOff>
    </xdr:to>
    <xdr:sp macro="" textlink="">
      <xdr:nvSpPr>
        <xdr:cNvPr id="7" name="Text Box 5"/>
        <xdr:cNvSpPr txBox="1">
          <a:spLocks noChangeArrowheads="1"/>
        </xdr:cNvSpPr>
      </xdr:nvSpPr>
      <xdr:spPr bwMode="auto">
        <a:xfrm>
          <a:off x="962025" y="419100"/>
          <a:ext cx="1038225" cy="123825"/>
        </a:xfrm>
        <a:prstGeom prst="rect">
          <a:avLst/>
        </a:prstGeom>
        <a:solidFill>
          <a:srgbClr val="FFFFFF">
            <a:alpha val="0"/>
          </a:srgbClr>
        </a:solidFill>
        <a:ln w="9525">
          <a:noFill/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75113</xdr:colOff>
      <xdr:row>0</xdr:row>
      <xdr:rowOff>66675</xdr:rowOff>
    </xdr:from>
    <xdr:to>
      <xdr:col>1</xdr:col>
      <xdr:colOff>38100</xdr:colOff>
      <xdr:row>3</xdr:row>
      <xdr:rowOff>127359</xdr:rowOff>
    </xdr:to>
    <xdr:pic>
      <xdr:nvPicPr>
        <xdr:cNvPr id="2" name="Picture 1" descr="template_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75113" y="66675"/>
          <a:ext cx="1191712" cy="1022709"/>
        </a:xfrm>
        <a:prstGeom prst="rect">
          <a:avLst/>
        </a:prstGeom>
        <a:ln>
          <a:noFill/>
        </a:ln>
        <a:effectLst>
          <a:reflection blurRad="12700" stA="30000" endPos="30000" dist="5000" dir="5400000" sy="-100000" algn="bl" rotWithShape="0"/>
        </a:effectLst>
        <a:scene3d>
          <a:camera prst="perspectiveContrastingLeftFacing">
            <a:rot lat="300000" lon="19800000" rev="0"/>
          </a:camera>
          <a:lightRig rig="threePt" dir="t">
            <a:rot lat="0" lon="0" rev="2700000"/>
          </a:lightRig>
        </a:scene3d>
        <a:sp3d>
          <a:bevelT w="63500" h="50800"/>
        </a:sp3d>
      </xdr:spPr>
    </xdr:pic>
    <xdr:clientData/>
  </xdr:twoCellAnchor>
  <xdr:twoCellAnchor editAs="absolute">
    <xdr:from>
      <xdr:col>2</xdr:col>
      <xdr:colOff>457200</xdr:colOff>
      <xdr:row>0</xdr:row>
      <xdr:rowOff>9525</xdr:rowOff>
    </xdr:from>
    <xdr:to>
      <xdr:col>4</xdr:col>
      <xdr:colOff>1323975</xdr:colOff>
      <xdr:row>0</xdr:row>
      <xdr:rowOff>485775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2562225" y="9525"/>
          <a:ext cx="3381375" cy="476250"/>
        </a:xfrm>
        <a:prstGeom prst="rect">
          <a:avLst/>
        </a:prstGeom>
        <a:solidFill>
          <a:srgbClr val="FFFFFF">
            <a:alpha val="0"/>
          </a:srgbClr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r" rtl="0">
            <a:defRPr sz="1000"/>
          </a:pPr>
          <a:r>
            <a:rPr lang="en-US" sz="2000" b="1" i="0" u="none" strike="noStrike" baseline="0">
              <a:solidFill>
                <a:srgbClr val="3B5E91"/>
              </a:solidFill>
              <a:latin typeface="Trebuchet MS"/>
            </a:rPr>
            <a:t>Invoice</a:t>
          </a:r>
        </a:p>
      </xdr:txBody>
    </xdr:sp>
    <xdr:clientData/>
  </xdr:twoCellAnchor>
  <xdr:twoCellAnchor>
    <xdr:from>
      <xdr:col>1</xdr:col>
      <xdr:colOff>762000</xdr:colOff>
      <xdr:row>0</xdr:row>
      <xdr:rowOff>133350</xdr:rowOff>
    </xdr:from>
    <xdr:to>
      <xdr:col>4</xdr:col>
      <xdr:colOff>533400</xdr:colOff>
      <xdr:row>1</xdr:row>
      <xdr:rowOff>180975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1990725" y="133350"/>
          <a:ext cx="3162300" cy="590550"/>
        </a:xfrm>
        <a:prstGeom prst="rect">
          <a:avLst/>
        </a:prstGeom>
        <a:solidFill>
          <a:srgbClr val="FFFFFF">
            <a:alpha val="0"/>
          </a:srgbClr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Trebuchet MS"/>
            </a:rPr>
            <a:t>Tatsu Technology</a:t>
          </a:r>
        </a:p>
        <a:p>
          <a:pPr algn="l" rtl="0">
            <a:defRPr sz="1000"/>
          </a:pPr>
          <a:r>
            <a:rPr lang="en-US" sz="900" b="0" i="1" u="none" strike="noStrike" baseline="0">
              <a:solidFill>
                <a:srgbClr val="000000"/>
              </a:solidFill>
              <a:latin typeface="Trebuchet MS"/>
            </a:rPr>
            <a:t>Wise. Fast. Simple.</a:t>
          </a:r>
        </a:p>
      </xdr:txBody>
    </xdr:sp>
    <xdr:clientData/>
  </xdr:twoCellAnchor>
  <xdr:twoCellAnchor>
    <xdr:from>
      <xdr:col>1</xdr:col>
      <xdr:colOff>352425</xdr:colOff>
      <xdr:row>2</xdr:row>
      <xdr:rowOff>95250</xdr:rowOff>
    </xdr:from>
    <xdr:to>
      <xdr:col>3</xdr:col>
      <xdr:colOff>171450</xdr:colOff>
      <xdr:row>3</xdr:row>
      <xdr:rowOff>57150</xdr:rowOff>
    </xdr:to>
    <xdr:sp macro="" textlink="">
      <xdr:nvSpPr>
        <xdr:cNvPr id="5" name="Text Box 5"/>
        <xdr:cNvSpPr txBox="1">
          <a:spLocks noChangeArrowheads="1"/>
        </xdr:cNvSpPr>
      </xdr:nvSpPr>
      <xdr:spPr bwMode="auto">
        <a:xfrm>
          <a:off x="1581150" y="847725"/>
          <a:ext cx="2362200" cy="171450"/>
        </a:xfrm>
        <a:prstGeom prst="rect">
          <a:avLst/>
        </a:prstGeom>
        <a:solidFill>
          <a:srgbClr val="FFFFFF">
            <a:alpha val="0"/>
          </a:srgbClr>
        </a:solidFill>
        <a:ln w="9525">
          <a:noFill/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orders@tatsu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orders@tatsu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orders@tatsu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orders@tatsu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rgb="FFFFFF00"/>
    <pageSetUpPr fitToPage="1"/>
  </sheetPr>
  <dimension ref="A1:J49"/>
  <sheetViews>
    <sheetView showGridLines="0" tabSelected="1" view="pageLayout" topLeftCell="A7" zoomScaleNormal="100" workbookViewId="0">
      <selection activeCell="F13" sqref="F13:H13"/>
    </sheetView>
  </sheetViews>
  <sheetFormatPr defaultRowHeight="15"/>
  <cols>
    <col min="1" max="1" width="8.28515625" style="28" customWidth="1"/>
    <col min="2" max="2" width="5.85546875" style="28" customWidth="1"/>
    <col min="3" max="3" width="25.85546875" style="28" customWidth="1"/>
    <col min="4" max="4" width="14" style="28" customWidth="1"/>
    <col min="5" max="5" width="14.85546875" style="28" customWidth="1"/>
    <col min="6" max="6" width="12.7109375" style="28" customWidth="1"/>
    <col min="7" max="7" width="12.5703125" style="74" customWidth="1"/>
    <col min="8" max="8" width="9.7109375" style="28" customWidth="1"/>
    <col min="9" max="9" width="14.5703125" style="28" customWidth="1"/>
    <col min="10" max="10" width="18.42578125" style="28" customWidth="1"/>
    <col min="11" max="16384" width="9.140625" style="28"/>
  </cols>
  <sheetData>
    <row r="1" spans="1:8" ht="42.75" customHeight="1">
      <c r="B1" s="56"/>
      <c r="C1" s="46"/>
      <c r="D1" s="46"/>
      <c r="E1" s="46"/>
      <c r="F1" s="46"/>
      <c r="G1" s="102"/>
      <c r="H1" s="46"/>
    </row>
    <row r="2" spans="1:8" ht="16.5" customHeight="1">
      <c r="B2" s="159"/>
      <c r="C2" s="160"/>
      <c r="D2" s="161"/>
      <c r="E2" s="161"/>
      <c r="F2" s="161"/>
      <c r="G2" s="161"/>
      <c r="H2" s="161"/>
    </row>
    <row r="3" spans="1:8" ht="16.5" customHeight="1">
      <c r="B3" s="162"/>
      <c r="C3" s="163"/>
      <c r="D3" s="161"/>
      <c r="E3" s="161"/>
      <c r="F3" s="161"/>
      <c r="G3" s="161"/>
      <c r="H3" s="161"/>
    </row>
    <row r="4" spans="1:8" s="48" customFormat="1" ht="14.1" customHeight="1">
      <c r="B4" s="164"/>
      <c r="C4" s="164"/>
      <c r="D4" s="164"/>
      <c r="E4" s="164"/>
      <c r="F4" s="164"/>
      <c r="G4" s="164"/>
      <c r="H4" s="164"/>
    </row>
    <row r="5" spans="1:8" s="48" customFormat="1" ht="14.1" customHeight="1">
      <c r="B5" s="153" t="s">
        <v>14</v>
      </c>
      <c r="C5" s="153"/>
      <c r="D5" s="55"/>
      <c r="E5" s="54" t="s">
        <v>10</v>
      </c>
      <c r="F5" s="153">
        <v>100</v>
      </c>
      <c r="G5" s="153"/>
      <c r="H5" s="153"/>
    </row>
    <row r="6" spans="1:8" s="48" customFormat="1" ht="14.1" customHeight="1">
      <c r="B6" s="153" t="s">
        <v>39</v>
      </c>
      <c r="C6" s="153"/>
      <c r="D6" s="55"/>
      <c r="E6" s="54" t="s">
        <v>0</v>
      </c>
      <c r="F6" s="165">
        <f ca="1">TODAY()</f>
        <v>41418</v>
      </c>
      <c r="G6" s="165"/>
      <c r="H6" s="165"/>
    </row>
    <row r="7" spans="1:8" s="48" customFormat="1" ht="14.1" customHeight="1">
      <c r="B7" s="153" t="s">
        <v>15</v>
      </c>
      <c r="C7" s="153"/>
      <c r="E7" s="125" t="s">
        <v>1</v>
      </c>
      <c r="F7" s="153">
        <v>1</v>
      </c>
      <c r="G7" s="153"/>
      <c r="H7" s="153"/>
    </row>
    <row r="8" spans="1:8" s="48" customFormat="1" ht="14.1" customHeight="1">
      <c r="B8" s="166" t="s">
        <v>16</v>
      </c>
      <c r="C8" s="153"/>
      <c r="D8" s="167"/>
      <c r="E8" s="167"/>
      <c r="F8" s="54"/>
      <c r="G8" s="101"/>
      <c r="H8" s="54"/>
    </row>
    <row r="9" spans="1:8" s="48" customFormat="1" ht="14.1" customHeight="1">
      <c r="B9" s="167"/>
      <c r="C9" s="167"/>
      <c r="D9" s="167"/>
      <c r="E9" s="167"/>
      <c r="F9" s="167"/>
      <c r="G9" s="167"/>
      <c r="H9" s="167"/>
    </row>
    <row r="10" spans="1:8" s="48" customFormat="1" ht="14.1" customHeight="1">
      <c r="A10"/>
      <c r="B10"/>
      <c r="C10"/>
      <c r="D10"/>
      <c r="E10" s="53" t="s">
        <v>3</v>
      </c>
      <c r="F10" s="153"/>
      <c r="G10" s="153"/>
      <c r="H10" s="153"/>
    </row>
    <row r="11" spans="1:8" s="48" customFormat="1" ht="14.1" customHeight="1">
      <c r="A11"/>
      <c r="B11"/>
      <c r="C11"/>
      <c r="D11"/>
      <c r="F11" s="153"/>
      <c r="G11" s="153"/>
      <c r="H11" s="153"/>
    </row>
    <row r="12" spans="1:8" s="48" customFormat="1" ht="14.1" customHeight="1">
      <c r="A12"/>
      <c r="B12"/>
      <c r="C12"/>
      <c r="D12"/>
      <c r="F12" s="153"/>
      <c r="G12" s="153"/>
      <c r="H12" s="153"/>
    </row>
    <row r="13" spans="1:8" s="48" customFormat="1" ht="14.1" customHeight="1">
      <c r="A13"/>
      <c r="B13"/>
      <c r="C13"/>
      <c r="D13"/>
      <c r="F13" s="153"/>
      <c r="G13" s="153"/>
      <c r="H13" s="153"/>
    </row>
    <row r="14" spans="1:8" s="48" customFormat="1" ht="14.1" customHeight="1">
      <c r="A14"/>
      <c r="B14"/>
      <c r="C14"/>
      <c r="D14"/>
      <c r="F14" s="153"/>
      <c r="G14" s="153"/>
      <c r="H14" s="153"/>
    </row>
    <row r="15" spans="1:8" s="48" customFormat="1" ht="14.1" customHeight="1">
      <c r="A15"/>
      <c r="B15"/>
      <c r="C15"/>
      <c r="D15"/>
      <c r="F15" s="50"/>
      <c r="G15" s="100"/>
      <c r="H15" s="50"/>
    </row>
    <row r="16" spans="1:8" s="48" customFormat="1" ht="14.1" customHeight="1">
      <c r="A16" s="154" t="s">
        <v>27</v>
      </c>
      <c r="B16" s="154"/>
      <c r="C16" s="154"/>
      <c r="D16"/>
      <c r="E16"/>
      <c r="F16"/>
      <c r="G16"/>
      <c r="H16"/>
    </row>
    <row r="17" spans="1:10" s="48" customFormat="1" ht="14.1" customHeight="1">
      <c r="A17" s="177">
        <v>1</v>
      </c>
      <c r="B17" s="178"/>
      <c r="C17" s="179"/>
      <c r="D17" s="148"/>
      <c r="E17" s="132"/>
      <c r="F17" s="132"/>
      <c r="G17" s="132"/>
      <c r="H17" s="132"/>
    </row>
    <row r="18" spans="1:10" s="48" customFormat="1" ht="14.1" customHeight="1">
      <c r="A18" s="49"/>
      <c r="B18" s="180"/>
      <c r="C18" s="180"/>
      <c r="D18" s="181"/>
      <c r="E18" s="181"/>
      <c r="F18" s="181"/>
      <c r="G18" s="181"/>
      <c r="H18" s="182"/>
    </row>
    <row r="19" spans="1:10" ht="15.95" customHeight="1">
      <c r="A19" s="154" t="s">
        <v>11</v>
      </c>
      <c r="B19" s="154"/>
      <c r="C19" s="154"/>
      <c r="D19" s="155" t="s">
        <v>26</v>
      </c>
      <c r="E19" s="156"/>
      <c r="F19" s="156"/>
      <c r="G19" s="157"/>
      <c r="H19" s="158" t="s">
        <v>12</v>
      </c>
      <c r="I19" s="158"/>
    </row>
    <row r="20" spans="1:10" ht="15.95" customHeight="1">
      <c r="A20" s="183" t="s">
        <v>40</v>
      </c>
      <c r="B20" s="184"/>
      <c r="C20" s="185"/>
      <c r="D20" s="188" t="s">
        <v>41</v>
      </c>
      <c r="E20" s="189"/>
      <c r="F20" s="189"/>
      <c r="G20" s="190"/>
      <c r="H20" s="191" t="s">
        <v>42</v>
      </c>
      <c r="I20" s="191"/>
    </row>
    <row r="21" spans="1:10" ht="15.95" customHeight="1">
      <c r="B21" s="47"/>
      <c r="C21" s="46"/>
      <c r="D21" s="46"/>
      <c r="E21" s="46"/>
      <c r="F21" s="46"/>
      <c r="G21" s="102"/>
      <c r="H21" s="46"/>
    </row>
    <row r="22" spans="1:10" ht="15.95" customHeight="1">
      <c r="A22" s="45" t="s">
        <v>25</v>
      </c>
      <c r="B22" s="45" t="s">
        <v>4</v>
      </c>
      <c r="C22" s="45" t="s">
        <v>5</v>
      </c>
      <c r="D22" s="186" t="s">
        <v>24</v>
      </c>
      <c r="E22" s="187"/>
      <c r="F22" s="92" t="s">
        <v>2</v>
      </c>
      <c r="G22" s="91" t="s">
        <v>6</v>
      </c>
      <c r="H22" s="92" t="s">
        <v>38</v>
      </c>
      <c r="I22" s="92" t="s">
        <v>45</v>
      </c>
      <c r="J22" s="91" t="s">
        <v>32</v>
      </c>
    </row>
    <row r="23" spans="1:10" ht="15.95" customHeight="1">
      <c r="A23" s="44"/>
      <c r="B23" s="44"/>
      <c r="C23" s="97"/>
      <c r="D23" s="170"/>
      <c r="E23" s="170"/>
      <c r="F23" s="127"/>
      <c r="G23" s="150" t="str">
        <f t="shared" ref="G23:G38" si="0">IF(SUM(B23)&gt;0,SUM(B23*F23),"")</f>
        <v/>
      </c>
      <c r="H23" s="126"/>
      <c r="I23" s="151" t="str">
        <f>IF(SUM(B23)&gt;0,(F23*H23),"")</f>
        <v/>
      </c>
      <c r="J23" s="151" t="str">
        <f>IF(SUM(B23)&gt;0,B23*(F23+I23),"")</f>
        <v/>
      </c>
    </row>
    <row r="24" spans="1:10" ht="15.95" customHeight="1">
      <c r="A24" s="44"/>
      <c r="B24" s="44"/>
      <c r="C24" s="97"/>
      <c r="D24" s="170"/>
      <c r="E24" s="170"/>
      <c r="F24" s="127"/>
      <c r="G24" s="150" t="str">
        <f t="shared" si="0"/>
        <v/>
      </c>
      <c r="H24" s="126"/>
      <c r="I24" s="151" t="str">
        <f t="shared" ref="I24:I38" si="1">IF(SUM(B24)&gt;0,(F24*H24),"")</f>
        <v/>
      </c>
      <c r="J24" s="151" t="str">
        <f t="shared" ref="J24:J38" si="2">IF(SUM(B24)&gt;0,B24*(F24+I24),"")</f>
        <v/>
      </c>
    </row>
    <row r="25" spans="1:10" ht="15.95" customHeight="1">
      <c r="A25" s="44"/>
      <c r="B25" s="44"/>
      <c r="C25" s="97"/>
      <c r="D25" s="170"/>
      <c r="E25" s="170"/>
      <c r="F25" s="127"/>
      <c r="G25" s="150" t="str">
        <f t="shared" si="0"/>
        <v/>
      </c>
      <c r="H25" s="126"/>
      <c r="I25" s="151" t="str">
        <f t="shared" si="1"/>
        <v/>
      </c>
      <c r="J25" s="151" t="str">
        <f t="shared" si="2"/>
        <v/>
      </c>
    </row>
    <row r="26" spans="1:10" ht="15.95" customHeight="1">
      <c r="A26" s="44"/>
      <c r="B26" s="44"/>
      <c r="C26" s="97"/>
      <c r="D26" s="170"/>
      <c r="E26" s="170"/>
      <c r="F26" s="127"/>
      <c r="G26" s="150" t="str">
        <f t="shared" si="0"/>
        <v/>
      </c>
      <c r="H26" s="126"/>
      <c r="I26" s="151" t="str">
        <f t="shared" si="1"/>
        <v/>
      </c>
      <c r="J26" s="151" t="str">
        <f t="shared" si="2"/>
        <v/>
      </c>
    </row>
    <row r="27" spans="1:10" ht="15.95" customHeight="1">
      <c r="A27" s="44"/>
      <c r="B27" s="44"/>
      <c r="C27" s="97"/>
      <c r="D27" s="170"/>
      <c r="E27" s="170"/>
      <c r="F27" s="127"/>
      <c r="G27" s="150" t="str">
        <f t="shared" si="0"/>
        <v/>
      </c>
      <c r="H27" s="126"/>
      <c r="I27" s="151" t="str">
        <f t="shared" si="1"/>
        <v/>
      </c>
      <c r="J27" s="151" t="str">
        <f t="shared" si="2"/>
        <v/>
      </c>
    </row>
    <row r="28" spans="1:10" ht="15.95" customHeight="1">
      <c r="A28" s="44"/>
      <c r="B28" s="44"/>
      <c r="C28" s="97"/>
      <c r="D28" s="170"/>
      <c r="E28" s="170"/>
      <c r="F28" s="127"/>
      <c r="G28" s="150" t="str">
        <f t="shared" si="0"/>
        <v/>
      </c>
      <c r="H28" s="126"/>
      <c r="I28" s="151" t="str">
        <f t="shared" si="1"/>
        <v/>
      </c>
      <c r="J28" s="151" t="str">
        <f t="shared" si="2"/>
        <v/>
      </c>
    </row>
    <row r="29" spans="1:10" ht="15.95" customHeight="1">
      <c r="A29" s="44"/>
      <c r="B29" s="44"/>
      <c r="C29" s="97"/>
      <c r="D29" s="170"/>
      <c r="E29" s="170"/>
      <c r="F29" s="127"/>
      <c r="G29" s="150" t="str">
        <f t="shared" si="0"/>
        <v/>
      </c>
      <c r="H29" s="126"/>
      <c r="I29" s="151" t="str">
        <f t="shared" si="1"/>
        <v/>
      </c>
      <c r="J29" s="151" t="str">
        <f t="shared" si="2"/>
        <v/>
      </c>
    </row>
    <row r="30" spans="1:10" ht="15.95" customHeight="1">
      <c r="A30" s="44"/>
      <c r="B30" s="44"/>
      <c r="C30" s="97"/>
      <c r="D30" s="170"/>
      <c r="E30" s="170"/>
      <c r="F30" s="138"/>
      <c r="G30" s="150" t="str">
        <f t="shared" si="0"/>
        <v/>
      </c>
      <c r="H30" s="115"/>
      <c r="I30" s="151" t="str">
        <f t="shared" si="1"/>
        <v/>
      </c>
      <c r="J30" s="151" t="str">
        <f t="shared" si="2"/>
        <v/>
      </c>
    </row>
    <row r="31" spans="1:10" ht="15.95" customHeight="1">
      <c r="A31" s="44"/>
      <c r="B31" s="139"/>
      <c r="C31" s="140"/>
      <c r="D31" s="171"/>
      <c r="E31" s="171"/>
      <c r="F31" s="117"/>
      <c r="G31" s="150" t="str">
        <f t="shared" si="0"/>
        <v/>
      </c>
      <c r="H31" s="116"/>
      <c r="I31" s="151" t="str">
        <f t="shared" si="1"/>
        <v/>
      </c>
      <c r="J31" s="151" t="str">
        <f t="shared" si="2"/>
        <v/>
      </c>
    </row>
    <row r="32" spans="1:10" ht="15.95" customHeight="1">
      <c r="A32" s="44"/>
      <c r="B32" s="44"/>
      <c r="C32" s="43"/>
      <c r="D32" s="172"/>
      <c r="E32" s="172"/>
      <c r="F32" s="117"/>
      <c r="G32" s="150" t="str">
        <f t="shared" si="0"/>
        <v/>
      </c>
      <c r="H32" s="116"/>
      <c r="I32" s="151" t="str">
        <f t="shared" si="1"/>
        <v/>
      </c>
      <c r="J32" s="151" t="str">
        <f t="shared" si="2"/>
        <v/>
      </c>
    </row>
    <row r="33" spans="1:10" ht="15.95" customHeight="1">
      <c r="A33" s="44"/>
      <c r="B33" s="44"/>
      <c r="C33" s="43"/>
      <c r="D33" s="172"/>
      <c r="E33" s="172"/>
      <c r="F33" s="117"/>
      <c r="G33" s="150" t="str">
        <f t="shared" si="0"/>
        <v/>
      </c>
      <c r="H33" s="116"/>
      <c r="I33" s="151" t="str">
        <f t="shared" si="1"/>
        <v/>
      </c>
      <c r="J33" s="151" t="str">
        <f t="shared" si="2"/>
        <v/>
      </c>
    </row>
    <row r="34" spans="1:10" ht="15.95" customHeight="1">
      <c r="A34" s="44"/>
      <c r="B34" s="44"/>
      <c r="C34" s="43"/>
      <c r="D34" s="168"/>
      <c r="E34" s="169"/>
      <c r="F34" s="141"/>
      <c r="G34" s="150" t="str">
        <f t="shared" si="0"/>
        <v/>
      </c>
      <c r="H34" s="142"/>
      <c r="I34" s="151" t="str">
        <f t="shared" si="1"/>
        <v/>
      </c>
      <c r="J34" s="151" t="str">
        <f t="shared" si="2"/>
        <v/>
      </c>
    </row>
    <row r="35" spans="1:10" ht="15.95" customHeight="1">
      <c r="A35" s="44"/>
      <c r="B35" s="44"/>
      <c r="C35" s="43"/>
      <c r="D35" s="168"/>
      <c r="E35" s="169"/>
      <c r="F35" s="117"/>
      <c r="G35" s="150" t="str">
        <f t="shared" si="0"/>
        <v/>
      </c>
      <c r="H35" s="116"/>
      <c r="I35" s="151" t="str">
        <f t="shared" si="1"/>
        <v/>
      </c>
      <c r="J35" s="151" t="str">
        <f t="shared" si="2"/>
        <v/>
      </c>
    </row>
    <row r="36" spans="1:10" ht="15.95" customHeight="1">
      <c r="A36" s="44"/>
      <c r="B36" s="44"/>
      <c r="C36" s="43"/>
      <c r="D36" s="168"/>
      <c r="E36" s="169"/>
      <c r="F36" s="117"/>
      <c r="G36" s="150" t="str">
        <f t="shared" si="0"/>
        <v/>
      </c>
      <c r="H36" s="116"/>
      <c r="I36" s="151" t="str">
        <f t="shared" si="1"/>
        <v/>
      </c>
      <c r="J36" s="151" t="str">
        <f t="shared" si="2"/>
        <v/>
      </c>
    </row>
    <row r="37" spans="1:10" ht="15.95" customHeight="1">
      <c r="A37" s="44"/>
      <c r="B37" s="44"/>
      <c r="C37" s="43"/>
      <c r="D37" s="168"/>
      <c r="E37" s="169"/>
      <c r="F37" s="117"/>
      <c r="G37" s="150" t="str">
        <f t="shared" si="0"/>
        <v/>
      </c>
      <c r="H37" s="116"/>
      <c r="I37" s="151" t="str">
        <f t="shared" si="1"/>
        <v/>
      </c>
      <c r="J37" s="151" t="str">
        <f t="shared" si="2"/>
        <v/>
      </c>
    </row>
    <row r="38" spans="1:10" ht="15.95" customHeight="1">
      <c r="A38" s="44"/>
      <c r="B38" s="44"/>
      <c r="C38" s="43"/>
      <c r="D38" s="168"/>
      <c r="E38" s="169"/>
      <c r="F38" s="117"/>
      <c r="G38" s="150" t="str">
        <f t="shared" si="0"/>
        <v/>
      </c>
      <c r="H38" s="116"/>
      <c r="I38" s="151" t="str">
        <f t="shared" si="1"/>
        <v/>
      </c>
      <c r="J38" s="151" t="str">
        <f t="shared" si="2"/>
        <v/>
      </c>
    </row>
    <row r="39" spans="1:10" ht="15.95" customHeight="1">
      <c r="A39" s="42"/>
      <c r="B39" s="40"/>
      <c r="C39" s="41"/>
      <c r="D39" s="40"/>
      <c r="E39" s="40"/>
      <c r="F39"/>
      <c r="G39"/>
      <c r="H39" s="93" t="s">
        <v>46</v>
      </c>
      <c r="I39" s="122" t="str">
        <f>IF(SUM(I23:I38)&gt;0,SUM(I23:I38)+J41,"")</f>
        <v/>
      </c>
      <c r="J39" s="152" t="str">
        <f>IF(SUM(J23:J38)&gt;0,SUM(J23:J38),"")</f>
        <v/>
      </c>
    </row>
    <row r="40" spans="1:10" ht="15.95" customHeight="1">
      <c r="A40" s="147"/>
      <c r="B40" s="144" t="s">
        <v>23</v>
      </c>
      <c r="C40" s="39" t="s">
        <v>30</v>
      </c>
      <c r="D40" s="39" t="s">
        <v>22</v>
      </c>
      <c r="E40" s="39" t="s">
        <v>31</v>
      </c>
      <c r="F40" s="74"/>
      <c r="I40" s="93" t="s">
        <v>8</v>
      </c>
      <c r="J40" s="95" t="str">
        <f>IF(SUM(J39)&gt;0, (J39*C41),"")</f>
        <v/>
      </c>
    </row>
    <row r="41" spans="1:10" ht="15.95" customHeight="1">
      <c r="A41" s="147"/>
      <c r="B41" s="145"/>
      <c r="C41" s="38">
        <v>6.25E-2</v>
      </c>
      <c r="D41" s="37"/>
      <c r="E41" s="36">
        <v>30</v>
      </c>
      <c r="F41" s="74"/>
      <c r="I41" s="94" t="s">
        <v>21</v>
      </c>
      <c r="J41" s="96" t="str">
        <f>IFERROR(IF(D41*E41&gt;0,D41*E41,""),"")</f>
        <v/>
      </c>
    </row>
    <row r="42" spans="1:10" ht="15.95" customHeight="1">
      <c r="A42" s="146"/>
      <c r="B42" s="173"/>
      <c r="C42" s="174"/>
      <c r="D42" s="175"/>
      <c r="E42" s="35"/>
      <c r="F42" s="74"/>
      <c r="I42" s="75" t="s">
        <v>20</v>
      </c>
      <c r="J42" s="96"/>
    </row>
    <row r="43" spans="1:10" ht="15.95" customHeight="1">
      <c r="A43" s="146"/>
      <c r="B43" s="176" t="str">
        <f>IF(SUM(F43)&gt;0,SUM((F43*#REF!)+F43),"")</f>
        <v/>
      </c>
      <c r="C43" s="176"/>
      <c r="D43" s="176"/>
      <c r="E43" s="31"/>
      <c r="F43" s="74"/>
      <c r="I43" s="93" t="s">
        <v>9</v>
      </c>
      <c r="J43" s="122" t="str">
        <f>IF(SUM(J39)&gt;0,SUM(J39:J42),"")</f>
        <v/>
      </c>
    </row>
    <row r="44" spans="1:10" ht="15.95" customHeight="1">
      <c r="A44" s="146"/>
      <c r="B44" s="31"/>
      <c r="C44" s="31"/>
      <c r="D44" s="31"/>
      <c r="E44" s="33"/>
      <c r="F44" s="33"/>
      <c r="G44" s="33"/>
      <c r="H44" s="33"/>
    </row>
    <row r="45" spans="1:10" ht="15.95" customHeight="1">
      <c r="A45" s="146"/>
      <c r="B45" s="31"/>
      <c r="C45" s="31"/>
      <c r="D45" s="31"/>
      <c r="E45" s="32" t="s">
        <v>13</v>
      </c>
      <c r="F45" s="32"/>
      <c r="G45" s="103"/>
      <c r="H45" s="32"/>
    </row>
    <row r="46" spans="1:10" ht="15.95" customHeight="1">
      <c r="B46" s="31"/>
      <c r="C46" s="31"/>
      <c r="D46" s="31"/>
      <c r="E46" s="31"/>
      <c r="F46" s="31"/>
      <c r="G46" s="31"/>
      <c r="H46" s="31"/>
    </row>
    <row r="47" spans="1:10" ht="15.95" customHeight="1">
      <c r="A47" s="31"/>
      <c r="B47" s="31"/>
      <c r="C47" s="31"/>
      <c r="D47" s="31"/>
      <c r="E47" s="31"/>
      <c r="F47" s="31"/>
      <c r="G47" s="31"/>
    </row>
    <row r="48" spans="1:10" ht="10.5" customHeight="1"/>
    <row r="49" spans="1:5">
      <c r="A49" s="30"/>
      <c r="B49" s="29"/>
      <c r="C49" s="29"/>
      <c r="D49" s="29"/>
      <c r="E49" s="29"/>
    </row>
  </sheetData>
  <mergeCells count="47">
    <mergeCell ref="B42:D42"/>
    <mergeCell ref="B43:D43"/>
    <mergeCell ref="A17:C17"/>
    <mergeCell ref="B18:H18"/>
    <mergeCell ref="A20:C20"/>
    <mergeCell ref="D22:E22"/>
    <mergeCell ref="D23:E23"/>
    <mergeCell ref="D20:G20"/>
    <mergeCell ref="H20:I20"/>
    <mergeCell ref="F12:H12"/>
    <mergeCell ref="D38:E38"/>
    <mergeCell ref="D29:E29"/>
    <mergeCell ref="D30:E30"/>
    <mergeCell ref="D31:E31"/>
    <mergeCell ref="D32:E32"/>
    <mergeCell ref="D33:E33"/>
    <mergeCell ref="D34:E34"/>
    <mergeCell ref="D35:E35"/>
    <mergeCell ref="D36:E36"/>
    <mergeCell ref="D37:E37"/>
    <mergeCell ref="D24:E24"/>
    <mergeCell ref="D25:E25"/>
    <mergeCell ref="D26:E26"/>
    <mergeCell ref="D27:E27"/>
    <mergeCell ref="D28:E28"/>
    <mergeCell ref="B8:C8"/>
    <mergeCell ref="D8:E8"/>
    <mergeCell ref="B9:H9"/>
    <mergeCell ref="F11:H11"/>
    <mergeCell ref="F10:H10"/>
    <mergeCell ref="B5:C5"/>
    <mergeCell ref="F5:H5"/>
    <mergeCell ref="B6:C6"/>
    <mergeCell ref="F6:H6"/>
    <mergeCell ref="B7:C7"/>
    <mergeCell ref="F7:H7"/>
    <mergeCell ref="B2:C2"/>
    <mergeCell ref="D2:H2"/>
    <mergeCell ref="B3:C3"/>
    <mergeCell ref="D3:H3"/>
    <mergeCell ref="B4:H4"/>
    <mergeCell ref="F13:H13"/>
    <mergeCell ref="A19:C19"/>
    <mergeCell ref="F14:H14"/>
    <mergeCell ref="A16:C16"/>
    <mergeCell ref="D19:G19"/>
    <mergeCell ref="H19:I19"/>
  </mergeCells>
  <hyperlinks>
    <hyperlink ref="B8" r:id="rId1"/>
  </hyperlinks>
  <printOptions horizontalCentered="1"/>
  <pageMargins left="0.75" right="0.75" top="0.5" bottom="0.5" header="0.5" footer="0.5"/>
  <pageSetup scale="74" orientation="landscape" r:id="rId2"/>
  <headerFooter alignWithMargins="0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>
    <tabColor rgb="FF00B050"/>
    <pageSetUpPr fitToPage="1"/>
  </sheetPr>
  <dimension ref="A1:G48"/>
  <sheetViews>
    <sheetView showGridLines="0" view="pageLayout" zoomScaleNormal="100" workbookViewId="0">
      <selection activeCell="A20" sqref="A20:B20"/>
    </sheetView>
  </sheetViews>
  <sheetFormatPr defaultRowHeight="15"/>
  <cols>
    <col min="1" max="1" width="12.7109375" style="2" customWidth="1"/>
    <col min="2" max="2" width="21.42578125" style="2" customWidth="1"/>
    <col min="3" max="3" width="23" style="2" customWidth="1"/>
    <col min="4" max="4" width="12.7109375" style="2" customWidth="1"/>
    <col min="5" max="5" width="17.7109375" style="2" customWidth="1"/>
    <col min="6" max="6" width="12.7109375" style="2" customWidth="1"/>
    <col min="7" max="16384" width="9.140625" style="2"/>
  </cols>
  <sheetData>
    <row r="1" spans="1:7" ht="42.75" customHeight="1">
      <c r="A1" s="1"/>
      <c r="B1" s="5"/>
      <c r="C1" s="20"/>
      <c r="D1" s="5"/>
      <c r="E1" s="5"/>
    </row>
    <row r="2" spans="1:7" ht="16.5" customHeight="1">
      <c r="A2" s="194"/>
      <c r="B2" s="195"/>
      <c r="C2" s="199"/>
      <c r="D2" s="199"/>
      <c r="E2" s="199"/>
    </row>
    <row r="3" spans="1:7" ht="16.5" customHeight="1">
      <c r="A3" s="192"/>
      <c r="B3" s="193"/>
      <c r="C3" s="199"/>
      <c r="D3" s="199"/>
      <c r="E3" s="199"/>
    </row>
    <row r="4" spans="1:7" s="7" customFormat="1" ht="14.1" customHeight="1">
      <c r="A4" s="200"/>
      <c r="B4" s="200"/>
      <c r="C4" s="200"/>
      <c r="D4" s="200"/>
      <c r="E4" s="200"/>
    </row>
    <row r="5" spans="1:7" s="7" customFormat="1" ht="14.1" customHeight="1">
      <c r="A5" s="196" t="s">
        <v>14</v>
      </c>
      <c r="B5" s="196"/>
      <c r="C5" s="22" t="s">
        <v>10</v>
      </c>
      <c r="D5" s="196">
        <v>100</v>
      </c>
      <c r="E5" s="196"/>
    </row>
    <row r="6" spans="1:7" s="7" customFormat="1" ht="14.1" customHeight="1">
      <c r="A6" s="196" t="s">
        <v>39</v>
      </c>
      <c r="B6" s="196"/>
      <c r="C6" s="22" t="s">
        <v>0</v>
      </c>
      <c r="D6" s="197">
        <f ca="1">TODAY()</f>
        <v>41418</v>
      </c>
      <c r="E6" s="197"/>
    </row>
    <row r="7" spans="1:7" s="7" customFormat="1" ht="14.1" customHeight="1">
      <c r="A7" s="196" t="s">
        <v>15</v>
      </c>
      <c r="B7" s="196"/>
      <c r="C7" s="22" t="s">
        <v>1</v>
      </c>
      <c r="D7" s="198">
        <v>1</v>
      </c>
      <c r="E7" s="198"/>
    </row>
    <row r="8" spans="1:7" s="7" customFormat="1" ht="14.1" customHeight="1">
      <c r="A8" s="201" t="s">
        <v>16</v>
      </c>
      <c r="B8" s="196"/>
      <c r="C8" s="21"/>
      <c r="D8" s="6"/>
      <c r="E8" s="6"/>
    </row>
    <row r="9" spans="1:7" s="7" customFormat="1" ht="14.1" customHeight="1">
      <c r="A9" s="202"/>
      <c r="B9" s="202"/>
      <c r="C9" s="202"/>
      <c r="D9" s="202"/>
      <c r="E9" s="202"/>
    </row>
    <row r="10" spans="1:7" s="7" customFormat="1" ht="14.1" customHeight="1">
      <c r="A10"/>
      <c r="B10"/>
      <c r="C10" s="8" t="s">
        <v>3</v>
      </c>
      <c r="D10" s="196" t="str">
        <f>IF(Estimate!F10&gt;0,Estimate!F10,"")</f>
        <v/>
      </c>
      <c r="E10" s="196"/>
    </row>
    <row r="11" spans="1:7" s="7" customFormat="1" ht="14.1" customHeight="1">
      <c r="A11"/>
      <c r="B11"/>
      <c r="D11" s="196" t="str">
        <f>IF(Estimate!F11&gt;0,Estimate!F11,"")</f>
        <v/>
      </c>
      <c r="E11" s="196"/>
    </row>
    <row r="12" spans="1:7" s="7" customFormat="1" ht="14.1" customHeight="1">
      <c r="A12"/>
      <c r="B12"/>
      <c r="D12" s="196" t="str">
        <f>IF(Estimate!F12&gt;0,Estimate!F12,"")</f>
        <v/>
      </c>
      <c r="E12" s="196"/>
    </row>
    <row r="13" spans="1:7" s="7" customFormat="1" ht="14.1" customHeight="1">
      <c r="A13"/>
      <c r="B13"/>
      <c r="D13" s="196" t="str">
        <f>IF(Estimate!F13&gt;0,Estimate!F13,"")</f>
        <v/>
      </c>
      <c r="E13" s="196"/>
    </row>
    <row r="14" spans="1:7" s="7" customFormat="1" ht="14.1" customHeight="1">
      <c r="A14"/>
      <c r="B14"/>
      <c r="D14" s="196" t="str">
        <f>IF(Estimate!F14&gt;0,Estimate!F14,"")</f>
        <v/>
      </c>
      <c r="E14" s="196"/>
    </row>
    <row r="15" spans="1:7" s="7" customFormat="1" ht="14.1" customHeight="1" thickBot="1">
      <c r="B15" s="23"/>
      <c r="D15" s="17"/>
      <c r="E15" s="17"/>
    </row>
    <row r="16" spans="1:7" s="7" customFormat="1" ht="14.1" customHeight="1">
      <c r="A16" s="206" t="s">
        <v>19</v>
      </c>
      <c r="B16" s="206"/>
      <c r="C16" s="211" t="s">
        <v>43</v>
      </c>
      <c r="D16" s="212"/>
      <c r="E16" s="213"/>
      <c r="F16"/>
      <c r="G16"/>
    </row>
    <row r="17" spans="1:7" s="7" customFormat="1" ht="14.1" customHeight="1">
      <c r="A17" s="207">
        <f>IF(Estimate!A17&gt;0,Estimate!A17,"")</f>
        <v>1</v>
      </c>
      <c r="B17" s="207"/>
      <c r="C17" s="214" t="s">
        <v>44</v>
      </c>
      <c r="D17" s="215"/>
      <c r="E17" s="216"/>
      <c r="F17"/>
      <c r="G17"/>
    </row>
    <row r="18" spans="1:7" s="7" customFormat="1" ht="14.1" customHeight="1" thickBot="1">
      <c r="A18" s="210"/>
      <c r="B18" s="210"/>
      <c r="C18" s="210"/>
      <c r="D18" s="210"/>
      <c r="E18" s="210"/>
    </row>
    <row r="19" spans="1:7" ht="15.95" customHeight="1">
      <c r="A19" s="206" t="s">
        <v>11</v>
      </c>
      <c r="B19" s="206"/>
      <c r="C19" s="206" t="s">
        <v>18</v>
      </c>
      <c r="D19" s="206"/>
      <c r="E19" s="130" t="s">
        <v>12</v>
      </c>
    </row>
    <row r="20" spans="1:7" ht="15.95" customHeight="1">
      <c r="A20" s="207" t="str">
        <f>IF(Estimate!A20&gt;0,Estimate!A20,"")</f>
        <v>UPS</v>
      </c>
      <c r="B20" s="207"/>
      <c r="C20" s="207" t="str">
        <f>IF(Estimate!D20&gt;0,Estimate!D20,"")</f>
        <v>UPS Brown</v>
      </c>
      <c r="D20" s="207"/>
      <c r="E20" s="131" t="str">
        <f>IF(Estimate!H20&gt;0,Estimate!H20,"")</f>
        <v>30 Days ARO</v>
      </c>
      <c r="F20"/>
      <c r="G20"/>
    </row>
    <row r="21" spans="1:7" ht="15.95" customHeight="1" thickBot="1">
      <c r="A21" s="208"/>
      <c r="B21" s="208"/>
      <c r="C21" s="209"/>
      <c r="D21" s="209"/>
      <c r="E21" s="209"/>
      <c r="F21" s="209"/>
    </row>
    <row r="22" spans="1:7" ht="15.95" customHeight="1">
      <c r="A22" s="10" t="s">
        <v>4</v>
      </c>
      <c r="B22" s="10" t="s">
        <v>5</v>
      </c>
      <c r="C22" s="19" t="s">
        <v>17</v>
      </c>
      <c r="D22" s="9" t="s">
        <v>2</v>
      </c>
      <c r="E22" s="9" t="s">
        <v>6</v>
      </c>
    </row>
    <row r="23" spans="1:7" ht="15.95" customHeight="1">
      <c r="A23" s="71">
        <f>Estimate!B23</f>
        <v>0</v>
      </c>
      <c r="B23" s="11" t="str">
        <f>IF(Estimate!C23&gt;0,Estimate!C23,"")</f>
        <v/>
      </c>
      <c r="C23" s="11" t="str">
        <f>IF(Estimate!D23&gt;0,Estimate!D23,"")</f>
        <v/>
      </c>
      <c r="D23" s="24" t="str">
        <f>IF(Estimate!F23&gt;0,Estimate!F23,"")</f>
        <v/>
      </c>
      <c r="E23" s="18" t="str">
        <f>IFERROR(IF(SUM(A23)&gt;0,SUM(A23*D23),""),"")</f>
        <v/>
      </c>
    </row>
    <row r="24" spans="1:7" ht="15.95" customHeight="1">
      <c r="A24" s="71">
        <f>Estimate!B24</f>
        <v>0</v>
      </c>
      <c r="B24" s="11" t="str">
        <f>IF(Estimate!C24&gt;0,Estimate!C24,"")</f>
        <v/>
      </c>
      <c r="C24" s="11" t="str">
        <f>IF(Estimate!D24&gt;0,Estimate!D24,"")</f>
        <v/>
      </c>
      <c r="D24" s="24" t="str">
        <f>IF(Estimate!F24&gt;0,Estimate!F24,"")</f>
        <v/>
      </c>
      <c r="E24" s="18" t="str">
        <f t="shared" ref="E24:E38" si="0">IFERROR(IF(SUM(A24)&gt;0,SUM(A24*D24),""),"")</f>
        <v/>
      </c>
    </row>
    <row r="25" spans="1:7" ht="15.95" customHeight="1">
      <c r="A25" s="71">
        <f>Estimate!B25</f>
        <v>0</v>
      </c>
      <c r="B25" s="11" t="str">
        <f>IF(Estimate!C25&gt;0,Estimate!C25,"")</f>
        <v/>
      </c>
      <c r="C25" s="11" t="str">
        <f>IF(Estimate!D25&gt;0,Estimate!D25,"")</f>
        <v/>
      </c>
      <c r="D25" s="24" t="str">
        <f>IF(Estimate!F25&gt;0,Estimate!F25,"")</f>
        <v/>
      </c>
      <c r="E25" s="18" t="str">
        <f t="shared" si="0"/>
        <v/>
      </c>
    </row>
    <row r="26" spans="1:7" ht="15.95" customHeight="1">
      <c r="A26" s="71">
        <f>Estimate!B26</f>
        <v>0</v>
      </c>
      <c r="B26" s="11" t="str">
        <f>IF(Estimate!C26&gt;0,Estimate!C26,"")</f>
        <v/>
      </c>
      <c r="C26" s="11" t="str">
        <f>IF(Estimate!D26&gt;0,Estimate!D26,"")</f>
        <v/>
      </c>
      <c r="D26" s="24" t="str">
        <f>IF(Estimate!F26&gt;0,Estimate!F26,"")</f>
        <v/>
      </c>
      <c r="E26" s="18" t="str">
        <f t="shared" si="0"/>
        <v/>
      </c>
    </row>
    <row r="27" spans="1:7" ht="15.95" customHeight="1">
      <c r="A27" s="71">
        <f>Estimate!B27</f>
        <v>0</v>
      </c>
      <c r="B27" s="11" t="str">
        <f>IF(Estimate!C27&gt;0,Estimate!C27,"")</f>
        <v/>
      </c>
      <c r="C27" s="11" t="str">
        <f>IF(Estimate!D27&gt;0,Estimate!D27,"")</f>
        <v/>
      </c>
      <c r="D27" s="24" t="str">
        <f>IF(Estimate!F27&gt;0,Estimate!F27,"")</f>
        <v/>
      </c>
      <c r="E27" s="18" t="str">
        <f t="shared" si="0"/>
        <v/>
      </c>
    </row>
    <row r="28" spans="1:7" ht="15.95" customHeight="1">
      <c r="A28" s="71">
        <f>Estimate!B28</f>
        <v>0</v>
      </c>
      <c r="B28" s="11" t="str">
        <f>IF(Estimate!C28&gt;0,Estimate!C28,"")</f>
        <v/>
      </c>
      <c r="C28" s="11" t="str">
        <f>IF(Estimate!D28&gt;0,Estimate!D28,"")</f>
        <v/>
      </c>
      <c r="D28" s="24" t="str">
        <f>IF(Estimate!F28&gt;0,Estimate!F28,"")</f>
        <v/>
      </c>
      <c r="E28" s="18" t="str">
        <f t="shared" si="0"/>
        <v/>
      </c>
    </row>
    <row r="29" spans="1:7" ht="15.95" customHeight="1">
      <c r="A29" s="71">
        <f>Estimate!B29</f>
        <v>0</v>
      </c>
      <c r="B29" s="11" t="str">
        <f>IF(Estimate!C29&gt;0,Estimate!C29,"")</f>
        <v/>
      </c>
      <c r="C29" s="11" t="str">
        <f>IF(Estimate!D29&gt;0,Estimate!D29,"")</f>
        <v/>
      </c>
      <c r="D29" s="24" t="str">
        <f>IF(Estimate!F29&gt;0,Estimate!F29,"")</f>
        <v/>
      </c>
      <c r="E29" s="18" t="str">
        <f t="shared" si="0"/>
        <v/>
      </c>
    </row>
    <row r="30" spans="1:7" ht="15.95" customHeight="1">
      <c r="A30" s="71">
        <f>Estimate!B30</f>
        <v>0</v>
      </c>
      <c r="B30" s="11" t="str">
        <f>IF(Estimate!C30&gt;0,Estimate!C30,"")</f>
        <v/>
      </c>
      <c r="C30" s="11" t="str">
        <f>IF(Estimate!D30&gt;0,Estimate!D30,"")</f>
        <v/>
      </c>
      <c r="D30" s="24" t="str">
        <f>IF(Estimate!F30&gt;0,Estimate!F30,"")</f>
        <v/>
      </c>
      <c r="E30" s="18" t="str">
        <f t="shared" si="0"/>
        <v/>
      </c>
    </row>
    <row r="31" spans="1:7" ht="15.95" customHeight="1">
      <c r="A31" s="71">
        <f>Estimate!B31</f>
        <v>0</v>
      </c>
      <c r="B31" s="11" t="str">
        <f>IF(Estimate!C31&gt;0,Estimate!C31,"")</f>
        <v/>
      </c>
      <c r="C31" s="11" t="str">
        <f>IF(Estimate!D31&gt;0,Estimate!D31,"")</f>
        <v/>
      </c>
      <c r="D31" s="24" t="str">
        <f>IF(Estimate!F31&gt;0,Estimate!F31,"")</f>
        <v/>
      </c>
      <c r="E31" s="18" t="str">
        <f t="shared" si="0"/>
        <v/>
      </c>
    </row>
    <row r="32" spans="1:7" ht="15.95" customHeight="1">
      <c r="A32" s="71">
        <f>Estimate!B32</f>
        <v>0</v>
      </c>
      <c r="B32" s="11" t="str">
        <f>IF(Estimate!C32&gt;0,Estimate!C32,"")</f>
        <v/>
      </c>
      <c r="C32" s="11" t="str">
        <f>IF(Estimate!D32&gt;0,Estimate!D32,"")</f>
        <v/>
      </c>
      <c r="D32" s="24" t="str">
        <f>IF(Estimate!F32&gt;0,Estimate!F32,"")</f>
        <v/>
      </c>
      <c r="E32" s="18" t="str">
        <f t="shared" si="0"/>
        <v/>
      </c>
    </row>
    <row r="33" spans="1:6" ht="15.95" customHeight="1">
      <c r="A33" s="71">
        <f>Estimate!B33</f>
        <v>0</v>
      </c>
      <c r="B33" s="11" t="str">
        <f>IF(Estimate!C33&gt;0,Estimate!C33,"")</f>
        <v/>
      </c>
      <c r="C33" s="11" t="str">
        <f>IF(Estimate!D33&gt;0,Estimate!D33,"")</f>
        <v/>
      </c>
      <c r="D33" s="24" t="str">
        <f>IF(Estimate!F33&gt;0,Estimate!F33,"")</f>
        <v/>
      </c>
      <c r="E33" s="18" t="str">
        <f t="shared" si="0"/>
        <v/>
      </c>
    </row>
    <row r="34" spans="1:6" ht="15.95" customHeight="1">
      <c r="A34" s="71">
        <f>Estimate!B34</f>
        <v>0</v>
      </c>
      <c r="B34" s="11" t="str">
        <f>IF(Estimate!C34&gt;0,Estimate!C34,"")</f>
        <v/>
      </c>
      <c r="C34" s="11" t="str">
        <f>IF(Estimate!D34&gt;0,Estimate!D34,"")</f>
        <v/>
      </c>
      <c r="D34" s="24" t="str">
        <f>IF(Estimate!F34&gt;0,Estimate!F34,"")</f>
        <v/>
      </c>
      <c r="E34" s="18" t="str">
        <f t="shared" si="0"/>
        <v/>
      </c>
    </row>
    <row r="35" spans="1:6" ht="15.95" customHeight="1">
      <c r="A35" s="71">
        <f>Estimate!B35</f>
        <v>0</v>
      </c>
      <c r="B35" s="11" t="str">
        <f>IF(Estimate!C35&gt;0,Estimate!C35,"")</f>
        <v/>
      </c>
      <c r="C35" s="11" t="str">
        <f>IF(Estimate!D35&gt;0,Estimate!D35,"")</f>
        <v/>
      </c>
      <c r="D35" s="24" t="str">
        <f>IF(Estimate!F35&gt;0,Estimate!F35,"")</f>
        <v/>
      </c>
      <c r="E35" s="18" t="str">
        <f t="shared" si="0"/>
        <v/>
      </c>
    </row>
    <row r="36" spans="1:6" ht="15.95" customHeight="1">
      <c r="A36" s="71">
        <f>Estimate!B36</f>
        <v>0</v>
      </c>
      <c r="B36" s="11" t="str">
        <f>IF(Estimate!C36&gt;0,Estimate!C36,"")</f>
        <v/>
      </c>
      <c r="C36" s="11" t="str">
        <f>IF(Estimate!D36&gt;0,Estimate!D36,"")</f>
        <v/>
      </c>
      <c r="D36" s="24" t="str">
        <f>IF(Estimate!F36&gt;0,Estimate!F36,"")</f>
        <v/>
      </c>
      <c r="E36" s="18" t="str">
        <f t="shared" si="0"/>
        <v/>
      </c>
    </row>
    <row r="37" spans="1:6" ht="15.95" customHeight="1">
      <c r="A37" s="71">
        <f>Estimate!B37</f>
        <v>0</v>
      </c>
      <c r="B37" s="11" t="str">
        <f>IF(Estimate!C37&gt;0,Estimate!C37,"")</f>
        <v/>
      </c>
      <c r="C37" s="11" t="str">
        <f>IF(Estimate!D37&gt;0,Estimate!D37,"")</f>
        <v/>
      </c>
      <c r="D37" s="24" t="str">
        <f>IF(Estimate!F37&gt;0,Estimate!F37,"")</f>
        <v/>
      </c>
      <c r="E37" s="18" t="str">
        <f t="shared" si="0"/>
        <v/>
      </c>
    </row>
    <row r="38" spans="1:6" ht="15.95" customHeight="1">
      <c r="A38" s="133">
        <f>Estimate!B38</f>
        <v>0</v>
      </c>
      <c r="B38" s="134" t="str">
        <f>IF(Estimate!C38&gt;0,Estimate!C38,"")</f>
        <v/>
      </c>
      <c r="C38" s="134" t="str">
        <f>IF(Estimate!D38&gt;0,Estimate!D38,"")</f>
        <v/>
      </c>
      <c r="D38" s="24" t="str">
        <f>IF(Estimate!F38&gt;0,Estimate!F38,"")</f>
        <v/>
      </c>
      <c r="E38" s="18" t="str">
        <f t="shared" si="0"/>
        <v/>
      </c>
    </row>
    <row r="39" spans="1:6" ht="15.95" customHeight="1">
      <c r="A39" s="132"/>
      <c r="B39" s="132"/>
      <c r="C39" s="132"/>
      <c r="D39" s="14" t="s">
        <v>7</v>
      </c>
      <c r="E39" s="13" t="str">
        <f>IF(SUM(E23:E38)&gt;0,SUM(E23:E38),"")</f>
        <v/>
      </c>
    </row>
    <row r="40" spans="1:6" ht="15.95" customHeight="1">
      <c r="A40" s="12"/>
      <c r="B40" s="12"/>
      <c r="C40" s="12"/>
      <c r="D40" s="14" t="s">
        <v>8</v>
      </c>
      <c r="E40" s="27" t="str">
        <f>IF(SUM(E39)&gt;0, (E39*Estimate!C41),"")</f>
        <v/>
      </c>
    </row>
    <row r="41" spans="1:6" ht="15.95" customHeight="1">
      <c r="A41" s="205"/>
      <c r="B41" s="205"/>
      <c r="C41" s="12"/>
      <c r="D41" s="14" t="str">
        <f>Estimate!I42</f>
        <v>SHIPPING</v>
      </c>
      <c r="E41" s="98">
        <f>Estimate!$J$42</f>
        <v>0</v>
      </c>
    </row>
    <row r="42" spans="1:6" ht="15.95" customHeight="1">
      <c r="A42" s="204" t="str">
        <f>IF(SUM(D42)&gt;0,SUM((D42*#REF!)+D42),"")</f>
        <v/>
      </c>
      <c r="B42" s="204"/>
      <c r="C42" s="15"/>
      <c r="D42" s="14" t="s">
        <v>9</v>
      </c>
      <c r="E42" s="123" t="str">
        <f>IF(SUM(E39)&gt;0, SUM(E39:E40),"")</f>
        <v/>
      </c>
    </row>
    <row r="43" spans="1:6" ht="15.95" customHeight="1">
      <c r="A43" s="15"/>
      <c r="B43" s="15"/>
      <c r="C43" s="15"/>
      <c r="D43" s="25"/>
      <c r="E43" s="25"/>
      <c r="F43" s="25"/>
    </row>
    <row r="44" spans="1:6" ht="15.95" customHeight="1">
      <c r="A44" s="15"/>
      <c r="B44" s="15"/>
      <c r="C44" s="15"/>
      <c r="D44" s="203" t="s">
        <v>13</v>
      </c>
      <c r="E44" s="203"/>
      <c r="F44" s="16"/>
    </row>
    <row r="45" spans="1:6" ht="15.95" customHeight="1">
      <c r="A45" s="15"/>
      <c r="B45" s="15"/>
      <c r="C45" s="15"/>
      <c r="D45" s="15"/>
      <c r="E45" s="15"/>
    </row>
    <row r="46" spans="1:6" ht="15.95" customHeight="1">
      <c r="A46" s="15"/>
      <c r="B46" s="15"/>
      <c r="C46" s="15"/>
      <c r="D46" s="15"/>
      <c r="E46" s="15"/>
      <c r="F46" s="15"/>
    </row>
    <row r="47" spans="1:6" ht="15.95" customHeight="1">
      <c r="F47" s="15"/>
    </row>
    <row r="48" spans="1:6" ht="10.5" customHeight="1">
      <c r="A48" s="3"/>
      <c r="B48" s="4"/>
      <c r="C48" s="4"/>
      <c r="D48" s="4"/>
      <c r="E48" s="4"/>
    </row>
  </sheetData>
  <mergeCells count="31">
    <mergeCell ref="D44:E44"/>
    <mergeCell ref="A42:B42"/>
    <mergeCell ref="A41:B41"/>
    <mergeCell ref="A16:B16"/>
    <mergeCell ref="A17:B17"/>
    <mergeCell ref="A21:F21"/>
    <mergeCell ref="A19:B19"/>
    <mergeCell ref="C19:D19"/>
    <mergeCell ref="A20:B20"/>
    <mergeCell ref="C20:D20"/>
    <mergeCell ref="A18:E18"/>
    <mergeCell ref="C16:E16"/>
    <mergeCell ref="C17:E17"/>
    <mergeCell ref="D13:E13"/>
    <mergeCell ref="D14:E14"/>
    <mergeCell ref="D11:E11"/>
    <mergeCell ref="D12:E12"/>
    <mergeCell ref="C2:E2"/>
    <mergeCell ref="A3:B3"/>
    <mergeCell ref="A2:B2"/>
    <mergeCell ref="D10:E10"/>
    <mergeCell ref="D5:E5"/>
    <mergeCell ref="D6:E6"/>
    <mergeCell ref="D7:E7"/>
    <mergeCell ref="A5:B5"/>
    <mergeCell ref="C3:E3"/>
    <mergeCell ref="A7:B7"/>
    <mergeCell ref="A4:E4"/>
    <mergeCell ref="A8:B8"/>
    <mergeCell ref="A6:B6"/>
    <mergeCell ref="A9:E9"/>
  </mergeCells>
  <phoneticPr fontId="1" type="noConversion"/>
  <hyperlinks>
    <hyperlink ref="A8" r:id="rId1"/>
  </hyperlinks>
  <printOptions horizontalCentered="1"/>
  <pageMargins left="0.75" right="0.75" top="0.5" bottom="0.5" header="0.5" footer="0.5"/>
  <pageSetup scale="90" orientation="portrait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>
    <tabColor rgb="FF002060"/>
    <pageSetUpPr fitToPage="1"/>
  </sheetPr>
  <dimension ref="A1:H49"/>
  <sheetViews>
    <sheetView showGridLines="0" view="pageLayout" zoomScaleNormal="100" workbookViewId="0">
      <selection activeCell="A16" sqref="A16:A17"/>
    </sheetView>
  </sheetViews>
  <sheetFormatPr defaultRowHeight="15"/>
  <cols>
    <col min="1" max="1" width="18.42578125" style="28" customWidth="1"/>
    <col min="2" max="2" width="13.140625" style="28" customWidth="1"/>
    <col min="3" max="3" width="25" style="28" customWidth="1"/>
    <col min="4" max="4" width="12.7109375" style="28" customWidth="1"/>
    <col min="5" max="5" width="18.85546875" style="28" customWidth="1"/>
    <col min="6" max="6" width="12.7109375" style="28" customWidth="1"/>
    <col min="7" max="16384" width="9.140625" style="28"/>
  </cols>
  <sheetData>
    <row r="1" spans="1:8" ht="42.75" customHeight="1">
      <c r="A1" s="56"/>
      <c r="B1" s="46"/>
      <c r="C1" s="46"/>
      <c r="D1" s="46"/>
      <c r="E1" s="46"/>
    </row>
    <row r="2" spans="1:8" ht="16.5" customHeight="1">
      <c r="A2" s="70"/>
      <c r="B2" s="161"/>
      <c r="C2" s="161"/>
      <c r="D2" s="161"/>
      <c r="E2" s="161"/>
    </row>
    <row r="3" spans="1:8" ht="16.5" customHeight="1">
      <c r="A3" s="69"/>
      <c r="B3" s="161"/>
      <c r="C3" s="161"/>
      <c r="D3" s="161"/>
      <c r="E3" s="161"/>
    </row>
    <row r="4" spans="1:8" s="48" customFormat="1" ht="14.1" customHeight="1">
      <c r="A4" s="164"/>
      <c r="B4" s="164"/>
      <c r="C4" s="164"/>
      <c r="D4" s="164"/>
      <c r="E4" s="164"/>
      <c r="H4" s="28"/>
    </row>
    <row r="5" spans="1:8" s="48" customFormat="1" ht="14.1" customHeight="1">
      <c r="A5" s="50" t="s">
        <v>14</v>
      </c>
      <c r="B5" s="55"/>
      <c r="C5" s="54" t="s">
        <v>10</v>
      </c>
      <c r="D5" s="153">
        <v>100</v>
      </c>
      <c r="E5" s="153"/>
      <c r="H5" s="28"/>
    </row>
    <row r="6" spans="1:8" s="48" customFormat="1" ht="14.1" customHeight="1">
      <c r="A6" s="99" t="s">
        <v>39</v>
      </c>
      <c r="B6" s="55"/>
      <c r="C6" s="54" t="s">
        <v>0</v>
      </c>
      <c r="D6" s="165">
        <f ca="1">TODAY()</f>
        <v>41418</v>
      </c>
      <c r="E6" s="165"/>
      <c r="H6" s="28"/>
    </row>
    <row r="7" spans="1:8" s="48" customFormat="1" ht="14.1" customHeight="1">
      <c r="A7" s="50" t="s">
        <v>15</v>
      </c>
      <c r="B7" s="230" t="s">
        <v>1</v>
      </c>
      <c r="C7" s="230"/>
      <c r="D7" s="153">
        <v>1</v>
      </c>
      <c r="E7" s="153"/>
      <c r="H7" s="28"/>
    </row>
    <row r="8" spans="1:8" s="48" customFormat="1" ht="14.1" customHeight="1">
      <c r="A8" s="26" t="s">
        <v>16</v>
      </c>
      <c r="B8" s="167"/>
      <c r="C8" s="167"/>
      <c r="D8" s="54"/>
      <c r="E8" s="54"/>
      <c r="H8" s="28"/>
    </row>
    <row r="9" spans="1:8" s="48" customFormat="1" ht="14.1" customHeight="1">
      <c r="A9" s="167"/>
      <c r="B9" s="167"/>
      <c r="C9" s="167"/>
      <c r="D9" s="167"/>
      <c r="E9" s="167"/>
      <c r="H9" s="28"/>
    </row>
    <row r="10" spans="1:8" s="48" customFormat="1" ht="14.1" customHeight="1">
      <c r="A10" s="68"/>
      <c r="B10" s="51"/>
      <c r="C10" s="53" t="s">
        <v>3</v>
      </c>
      <c r="D10" s="153">
        <f>Estimate!F10</f>
        <v>0</v>
      </c>
      <c r="E10" s="153"/>
      <c r="H10" s="28"/>
    </row>
    <row r="11" spans="1:8" s="48" customFormat="1" ht="14.1" customHeight="1">
      <c r="A11" s="52"/>
      <c r="B11" s="51"/>
      <c r="D11" s="153">
        <f>Estimate!F11</f>
        <v>0</v>
      </c>
      <c r="E11" s="153"/>
      <c r="H11" s="28"/>
    </row>
    <row r="12" spans="1:8" s="48" customFormat="1" ht="14.1" customHeight="1">
      <c r="B12" s="51"/>
      <c r="D12" s="153">
        <f>Estimate!F12</f>
        <v>0</v>
      </c>
      <c r="E12" s="153"/>
      <c r="H12" s="28"/>
    </row>
    <row r="13" spans="1:8" s="48" customFormat="1" ht="14.1" customHeight="1">
      <c r="B13" s="51"/>
      <c r="D13" s="153">
        <f>Estimate!F13</f>
        <v>0</v>
      </c>
      <c r="E13" s="153"/>
      <c r="H13" s="28"/>
    </row>
    <row r="14" spans="1:8" s="48" customFormat="1" ht="14.1" customHeight="1">
      <c r="B14" s="51"/>
      <c r="D14" s="153"/>
      <c r="E14" s="153"/>
      <c r="H14" s="28"/>
    </row>
    <row r="15" spans="1:8" s="48" customFormat="1" ht="14.1" customHeight="1" thickBot="1">
      <c r="B15" s="51"/>
      <c r="D15" s="50"/>
      <c r="E15" s="50"/>
      <c r="H15" s="28"/>
    </row>
    <row r="16" spans="1:8" s="48" customFormat="1" ht="14.1" customHeight="1">
      <c r="A16" s="143" t="s">
        <v>29</v>
      </c>
      <c r="B16"/>
      <c r="C16"/>
      <c r="D16"/>
      <c r="E16"/>
      <c r="F16" s="67"/>
      <c r="G16" s="67"/>
      <c r="H16" s="28"/>
    </row>
    <row r="17" spans="1:8" s="48" customFormat="1" ht="14.1" customHeight="1">
      <c r="A17" s="149">
        <f>IF(Estimate!A17&gt;0,Estimate!A17,"")</f>
        <v>1</v>
      </c>
      <c r="B17"/>
      <c r="C17"/>
      <c r="D17"/>
      <c r="E17"/>
      <c r="F17" s="67"/>
      <c r="G17" s="67"/>
      <c r="H17" s="28"/>
    </row>
    <row r="18" spans="1:8" s="48" customFormat="1" ht="14.1" customHeight="1" thickBot="1">
      <c r="A18" s="182"/>
      <c r="B18" s="182"/>
      <c r="C18" s="182"/>
      <c r="D18" s="182"/>
      <c r="E18" s="182"/>
      <c r="H18" s="28"/>
    </row>
    <row r="19" spans="1:8" ht="15.95" customHeight="1">
      <c r="A19" s="66" t="s">
        <v>11</v>
      </c>
      <c r="B19" s="228" t="s">
        <v>26</v>
      </c>
      <c r="C19" s="229"/>
      <c r="D19" s="222" t="s">
        <v>12</v>
      </c>
      <c r="E19" s="223"/>
    </row>
    <row r="20" spans="1:8" ht="15.95" customHeight="1">
      <c r="A20" s="65" t="str">
        <f>IF(Estimate!A20&gt;0,Estimate!A20,"")</f>
        <v>UPS</v>
      </c>
      <c r="B20" s="224" t="str">
        <f>IF(Estimate!D20&gt;0,Estimate!D20,"")</f>
        <v>UPS Brown</v>
      </c>
      <c r="C20" s="225"/>
      <c r="D20" s="219" t="str">
        <f>IF(Estimate!H20&gt;0,Estimate!H20,"")</f>
        <v>30 Days ARO</v>
      </c>
      <c r="E20" s="220"/>
    </row>
    <row r="21" spans="1:8" ht="15.95" customHeight="1" thickBot="1">
      <c r="A21" s="221"/>
      <c r="B21" s="182"/>
      <c r="C21" s="182"/>
      <c r="D21" s="182"/>
      <c r="E21" s="182"/>
      <c r="F21" s="182"/>
    </row>
    <row r="22" spans="1:8" ht="15.95" customHeight="1">
      <c r="A22" s="64" t="s">
        <v>4</v>
      </c>
      <c r="B22" s="226" t="s">
        <v>24</v>
      </c>
      <c r="C22" s="227"/>
      <c r="D22" s="63" t="s">
        <v>2</v>
      </c>
      <c r="E22" s="63" t="s">
        <v>6</v>
      </c>
    </row>
    <row r="23" spans="1:8" ht="15.95" customHeight="1">
      <c r="A23" s="72">
        <f>Estimate!B23</f>
        <v>0</v>
      </c>
      <c r="B23" s="217" t="str">
        <f>IF(Estimate!D23&gt;0,Estimate!D23,"")</f>
        <v/>
      </c>
      <c r="C23" s="218"/>
      <c r="D23" s="62" t="str">
        <f>Estimate!I23</f>
        <v/>
      </c>
      <c r="E23" s="61" t="str">
        <f t="shared" ref="E23:E38" si="0">IF(SUM(A23)&gt;0,SUM(A23*D23),"")</f>
        <v/>
      </c>
    </row>
    <row r="24" spans="1:8" ht="15.95" customHeight="1">
      <c r="A24" s="72">
        <f>Estimate!B24</f>
        <v>0</v>
      </c>
      <c r="B24" s="217" t="str">
        <f>IF(Estimate!D24&gt;0,Estimate!D24,"")</f>
        <v/>
      </c>
      <c r="C24" s="218"/>
      <c r="D24" s="76" t="str">
        <f>Estimate!I24</f>
        <v/>
      </c>
      <c r="E24" s="61" t="str">
        <f t="shared" si="0"/>
        <v/>
      </c>
    </row>
    <row r="25" spans="1:8" ht="15.95" customHeight="1">
      <c r="A25" s="72">
        <f>Estimate!B25</f>
        <v>0</v>
      </c>
      <c r="B25" s="217" t="str">
        <f>IF(Estimate!D25&gt;0,Estimate!D25,"")</f>
        <v/>
      </c>
      <c r="C25" s="218"/>
      <c r="D25" s="76" t="str">
        <f>Estimate!I25</f>
        <v/>
      </c>
      <c r="E25" s="61" t="str">
        <f t="shared" si="0"/>
        <v/>
      </c>
    </row>
    <row r="26" spans="1:8" ht="15.95" customHeight="1">
      <c r="A26" s="72">
        <f>Estimate!B26</f>
        <v>0</v>
      </c>
      <c r="B26" s="217" t="str">
        <f>IF(Estimate!D26&gt;0,Estimate!D26,"")</f>
        <v/>
      </c>
      <c r="C26" s="218"/>
      <c r="D26" s="76" t="str">
        <f>Estimate!I26</f>
        <v/>
      </c>
      <c r="E26" s="61" t="str">
        <f t="shared" si="0"/>
        <v/>
      </c>
    </row>
    <row r="27" spans="1:8" ht="15.95" customHeight="1">
      <c r="A27" s="72">
        <f>Estimate!B27</f>
        <v>0</v>
      </c>
      <c r="B27" s="217" t="str">
        <f>IF(Estimate!D27&gt;0,Estimate!D27,"")</f>
        <v/>
      </c>
      <c r="C27" s="218"/>
      <c r="D27" s="76" t="str">
        <f>Estimate!I27</f>
        <v/>
      </c>
      <c r="E27" s="61" t="str">
        <f t="shared" si="0"/>
        <v/>
      </c>
    </row>
    <row r="28" spans="1:8" ht="15.95" customHeight="1">
      <c r="A28" s="72">
        <f>Estimate!B28</f>
        <v>0</v>
      </c>
      <c r="B28" s="217" t="str">
        <f>IF(Estimate!D28&gt;0,Estimate!D28,"")</f>
        <v/>
      </c>
      <c r="C28" s="218"/>
      <c r="D28" s="76" t="str">
        <f>Estimate!I28</f>
        <v/>
      </c>
      <c r="E28" s="61" t="str">
        <f t="shared" si="0"/>
        <v/>
      </c>
    </row>
    <row r="29" spans="1:8" ht="15.95" customHeight="1">
      <c r="A29" s="72">
        <f>Estimate!B29</f>
        <v>0</v>
      </c>
      <c r="B29" s="217" t="str">
        <f>IF(Estimate!D29&gt;0,Estimate!D29,"")</f>
        <v/>
      </c>
      <c r="C29" s="218"/>
      <c r="D29" s="76" t="str">
        <f>Estimate!I29</f>
        <v/>
      </c>
      <c r="E29" s="61" t="str">
        <f t="shared" si="0"/>
        <v/>
      </c>
    </row>
    <row r="30" spans="1:8" ht="15.95" customHeight="1">
      <c r="A30" s="72">
        <f>Estimate!B30</f>
        <v>0</v>
      </c>
      <c r="B30" s="217" t="str">
        <f>IF(Estimate!D30&gt;0,Estimate!D30,"")</f>
        <v/>
      </c>
      <c r="C30" s="218"/>
      <c r="D30" s="76" t="str">
        <f>Estimate!I30</f>
        <v/>
      </c>
      <c r="E30" s="61" t="str">
        <f t="shared" si="0"/>
        <v/>
      </c>
    </row>
    <row r="31" spans="1:8" ht="15.95" customHeight="1">
      <c r="A31" s="72">
        <f>Estimate!B31</f>
        <v>0</v>
      </c>
      <c r="B31" s="217" t="str">
        <f>IF(Estimate!D31&gt;0,Estimate!D31,"")</f>
        <v/>
      </c>
      <c r="C31" s="218"/>
      <c r="D31" s="76" t="str">
        <f>Estimate!I31</f>
        <v/>
      </c>
      <c r="E31" s="61" t="str">
        <f t="shared" si="0"/>
        <v/>
      </c>
    </row>
    <row r="32" spans="1:8" ht="15.95" customHeight="1">
      <c r="A32" s="72">
        <f>Estimate!B32</f>
        <v>0</v>
      </c>
      <c r="B32" s="217" t="str">
        <f>IF(Estimate!D32&gt;0,Estimate!D32,"")</f>
        <v/>
      </c>
      <c r="C32" s="218"/>
      <c r="D32" s="76" t="str">
        <f>Estimate!I32</f>
        <v/>
      </c>
      <c r="E32" s="61" t="str">
        <f t="shared" si="0"/>
        <v/>
      </c>
    </row>
    <row r="33" spans="1:6" ht="15.95" customHeight="1">
      <c r="A33" s="72">
        <f>Estimate!B33</f>
        <v>0</v>
      </c>
      <c r="B33" s="217" t="str">
        <f>IF(Estimate!D33&gt;0,Estimate!D33,"")</f>
        <v/>
      </c>
      <c r="C33" s="218"/>
      <c r="D33" s="76" t="str">
        <f>Estimate!I33</f>
        <v/>
      </c>
      <c r="E33" s="61" t="str">
        <f t="shared" si="0"/>
        <v/>
      </c>
    </row>
    <row r="34" spans="1:6" ht="15.95" customHeight="1">
      <c r="A34" s="72">
        <f>Estimate!B34</f>
        <v>0</v>
      </c>
      <c r="B34" s="217" t="str">
        <f>IF(Estimate!D34&gt;0,Estimate!D34,"")</f>
        <v/>
      </c>
      <c r="C34" s="218"/>
      <c r="D34" s="76" t="str">
        <f>Estimate!I34</f>
        <v/>
      </c>
      <c r="E34" s="61" t="str">
        <f t="shared" si="0"/>
        <v/>
      </c>
    </row>
    <row r="35" spans="1:6" ht="15.95" customHeight="1">
      <c r="A35" s="72">
        <f>Estimate!B35</f>
        <v>0</v>
      </c>
      <c r="B35" s="217" t="str">
        <f>IF(Estimate!D35&gt;0,Estimate!D35,"")</f>
        <v/>
      </c>
      <c r="C35" s="218"/>
      <c r="D35" s="76" t="str">
        <f>Estimate!I35</f>
        <v/>
      </c>
      <c r="E35" s="61" t="str">
        <f t="shared" si="0"/>
        <v/>
      </c>
    </row>
    <row r="36" spans="1:6" ht="15.95" customHeight="1">
      <c r="A36" s="72">
        <f>Estimate!B36</f>
        <v>0</v>
      </c>
      <c r="B36" s="217" t="str">
        <f>IF(Estimate!D36&gt;0,Estimate!D36,"")</f>
        <v/>
      </c>
      <c r="C36" s="218"/>
      <c r="D36" s="76" t="str">
        <f>Estimate!I36</f>
        <v/>
      </c>
      <c r="E36" s="61" t="str">
        <f t="shared" si="0"/>
        <v/>
      </c>
    </row>
    <row r="37" spans="1:6" ht="15.95" customHeight="1">
      <c r="A37" s="72">
        <f>Estimate!B37</f>
        <v>0</v>
      </c>
      <c r="B37" s="217" t="str">
        <f>IF(Estimate!D37&gt;0,Estimate!D37,"")</f>
        <v/>
      </c>
      <c r="C37" s="218"/>
      <c r="D37" s="76" t="str">
        <f>Estimate!I37</f>
        <v/>
      </c>
      <c r="E37" s="61" t="str">
        <f t="shared" si="0"/>
        <v/>
      </c>
    </row>
    <row r="38" spans="1:6" ht="15.95" customHeight="1">
      <c r="A38" s="129">
        <f>Estimate!B38</f>
        <v>0</v>
      </c>
      <c r="B38" s="234" t="str">
        <f>IF(Estimate!D38&gt;0,Estimate!D38,"")</f>
        <v/>
      </c>
      <c r="C38" s="235"/>
      <c r="D38" s="76" t="str">
        <f>Estimate!I38</f>
        <v/>
      </c>
      <c r="E38" s="61" t="str">
        <f t="shared" si="0"/>
        <v/>
      </c>
    </row>
    <row r="39" spans="1:6" ht="15.95" customHeight="1">
      <c r="A39" s="128"/>
      <c r="B39" s="128"/>
      <c r="C39" s="128"/>
      <c r="D39" s="57" t="s">
        <v>7</v>
      </c>
      <c r="E39" s="60" t="str">
        <f>IF(SUM(E23:E38)&gt;0,SUM(E23:E38),"")</f>
        <v/>
      </c>
    </row>
    <row r="40" spans="1:6" ht="15.95" customHeight="1">
      <c r="A40" s="58"/>
      <c r="B40" s="58"/>
      <c r="C40" s="58"/>
      <c r="D40" s="57" t="s">
        <v>8</v>
      </c>
      <c r="E40" s="59" t="str">
        <f>IF(SUM(E39)&gt;0, (E39*Estimate!C41),"")</f>
        <v/>
      </c>
    </row>
    <row r="41" spans="1:6" ht="15.95" customHeight="1">
      <c r="A41" s="233"/>
      <c r="B41" s="233"/>
      <c r="C41" s="58"/>
      <c r="D41" s="34" t="s">
        <v>28</v>
      </c>
      <c r="E41" s="137" t="str">
        <f>Estimate!J41</f>
        <v/>
      </c>
    </row>
    <row r="42" spans="1:6" ht="15.95" customHeight="1">
      <c r="A42" s="174"/>
      <c r="B42" s="174"/>
      <c r="C42" s="58"/>
      <c r="D42" s="57" t="str">
        <f>Estimate!I42</f>
        <v>SHIPPING</v>
      </c>
      <c r="E42" s="136" t="str">
        <f>IF(Estimate!J42&gt;0,Estimate!J42,"")</f>
        <v/>
      </c>
    </row>
    <row r="43" spans="1:6" ht="15.95" customHeight="1">
      <c r="A43" s="176" t="str">
        <f>IF(SUM(D43)&gt;0,SUM((D43*#REF!)+D43),"")</f>
        <v/>
      </c>
      <c r="B43" s="176"/>
      <c r="C43" s="31"/>
      <c r="D43" s="57" t="s">
        <v>9</v>
      </c>
      <c r="E43" s="124" t="str">
        <f>IF(SUM(E39)&gt;0, SUM(E39:E42),"")</f>
        <v/>
      </c>
      <c r="F43" s="31"/>
    </row>
    <row r="44" spans="1:6" ht="15.95" customHeight="1">
      <c r="A44" s="31"/>
      <c r="B44" s="31"/>
      <c r="C44" s="31"/>
      <c r="D44" s="231"/>
      <c r="E44" s="231"/>
      <c r="F44" s="231"/>
    </row>
    <row r="45" spans="1:6" ht="15.95" customHeight="1">
      <c r="A45" s="31"/>
      <c r="B45" s="31"/>
      <c r="C45" s="31"/>
      <c r="D45" s="232" t="s">
        <v>13</v>
      </c>
      <c r="E45" s="232"/>
      <c r="F45" s="32"/>
    </row>
    <row r="46" spans="1:6" ht="15.95" customHeight="1">
      <c r="A46" s="31"/>
      <c r="B46" s="31"/>
      <c r="C46" s="31"/>
      <c r="D46" s="31"/>
      <c r="E46" s="31"/>
      <c r="F46" s="31"/>
    </row>
    <row r="47" spans="1:6" ht="15.95" customHeight="1">
      <c r="A47" s="31"/>
      <c r="B47" s="31"/>
      <c r="C47" s="31"/>
      <c r="D47" s="31"/>
      <c r="E47" s="31"/>
      <c r="F47" s="31"/>
    </row>
    <row r="48" spans="1:6" ht="10.5" customHeight="1"/>
    <row r="49" spans="1:5">
      <c r="A49" s="30"/>
      <c r="B49" s="29"/>
      <c r="C49" s="29"/>
      <c r="D49" s="29"/>
      <c r="E49" s="29"/>
    </row>
  </sheetData>
  <mergeCells count="42">
    <mergeCell ref="B37:C37"/>
    <mergeCell ref="B31:C31"/>
    <mergeCell ref="D44:F44"/>
    <mergeCell ref="D45:E45"/>
    <mergeCell ref="A43:B43"/>
    <mergeCell ref="A41:B41"/>
    <mergeCell ref="A42:B42"/>
    <mergeCell ref="B32:C32"/>
    <mergeCell ref="B33:C33"/>
    <mergeCell ref="B38:C38"/>
    <mergeCell ref="B35:C35"/>
    <mergeCell ref="B36:C36"/>
    <mergeCell ref="B27:C27"/>
    <mergeCell ref="B28:C28"/>
    <mergeCell ref="B34:C34"/>
    <mergeCell ref="B29:C29"/>
    <mergeCell ref="B30:C30"/>
    <mergeCell ref="D11:E11"/>
    <mergeCell ref="D12:E12"/>
    <mergeCell ref="B2:E2"/>
    <mergeCell ref="D10:E10"/>
    <mergeCell ref="D5:E5"/>
    <mergeCell ref="D6:E6"/>
    <mergeCell ref="D7:E7"/>
    <mergeCell ref="B3:E3"/>
    <mergeCell ref="A4:E4"/>
    <mergeCell ref="B8:C8"/>
    <mergeCell ref="B7:C7"/>
    <mergeCell ref="A9:E9"/>
    <mergeCell ref="B26:C26"/>
    <mergeCell ref="D20:E20"/>
    <mergeCell ref="D13:E13"/>
    <mergeCell ref="D14:E14"/>
    <mergeCell ref="A21:F21"/>
    <mergeCell ref="B25:C25"/>
    <mergeCell ref="A18:E18"/>
    <mergeCell ref="D19:E19"/>
    <mergeCell ref="B20:C20"/>
    <mergeCell ref="B22:C22"/>
    <mergeCell ref="B23:C23"/>
    <mergeCell ref="B24:C24"/>
    <mergeCell ref="B19:C19"/>
  </mergeCells>
  <hyperlinks>
    <hyperlink ref="A8" r:id="rId1"/>
  </hyperlinks>
  <printOptions horizontalCentered="1"/>
  <pageMargins left="0.75" right="0.75" top="0.5" bottom="0.5" header="0.5" footer="0.5"/>
  <pageSetup scale="90" orientation="portrait" r:id="rId2"/>
  <headerFooter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>
    <tabColor rgb="FF0070C0"/>
    <pageSetUpPr fitToPage="1"/>
  </sheetPr>
  <dimension ref="A1:H49"/>
  <sheetViews>
    <sheetView showGridLines="0" topLeftCell="A8" zoomScaleNormal="100" workbookViewId="0">
      <selection activeCell="C16" sqref="C16"/>
    </sheetView>
  </sheetViews>
  <sheetFormatPr defaultRowHeight="15"/>
  <cols>
    <col min="1" max="1" width="18.42578125" style="74" customWidth="1"/>
    <col min="2" max="2" width="13.140625" style="74" customWidth="1"/>
    <col min="3" max="3" width="25" style="74" customWidth="1"/>
    <col min="4" max="4" width="12.7109375" style="74" customWidth="1"/>
    <col min="5" max="5" width="20.140625" style="74" customWidth="1"/>
    <col min="6" max="6" width="12.7109375" style="74" customWidth="1"/>
    <col min="7" max="16384" width="9.140625" style="74"/>
  </cols>
  <sheetData>
    <row r="1" spans="1:8" ht="42.75" customHeight="1">
      <c r="A1" s="106"/>
      <c r="B1" s="108"/>
      <c r="C1" s="108"/>
      <c r="D1" s="108"/>
      <c r="E1" s="108"/>
    </row>
    <row r="2" spans="1:8" ht="16.5" customHeight="1">
      <c r="A2" s="105"/>
      <c r="B2" s="161"/>
      <c r="C2" s="161"/>
      <c r="D2" s="161"/>
      <c r="E2" s="161"/>
    </row>
    <row r="3" spans="1:8" ht="16.5" customHeight="1">
      <c r="A3" s="107"/>
      <c r="B3" s="161"/>
      <c r="C3" s="161"/>
      <c r="D3" s="161"/>
      <c r="E3" s="161"/>
    </row>
    <row r="4" spans="1:8" s="48" customFormat="1" ht="14.1" customHeight="1">
      <c r="A4" s="164"/>
      <c r="B4" s="164"/>
      <c r="C4" s="164"/>
      <c r="D4" s="164"/>
      <c r="E4" s="164"/>
      <c r="H4" s="74"/>
    </row>
    <row r="5" spans="1:8" s="48" customFormat="1" ht="14.1" customHeight="1">
      <c r="A5" s="104" t="s">
        <v>14</v>
      </c>
      <c r="B5" s="111"/>
      <c r="C5" s="110" t="s">
        <v>10</v>
      </c>
      <c r="D5" s="153">
        <v>100</v>
      </c>
      <c r="E5" s="153"/>
      <c r="H5" s="74"/>
    </row>
    <row r="6" spans="1:8" s="48" customFormat="1" ht="14.1" customHeight="1">
      <c r="A6" s="104" t="s">
        <v>39</v>
      </c>
      <c r="B6" s="111"/>
      <c r="C6" s="110" t="s">
        <v>0</v>
      </c>
      <c r="D6" s="165">
        <f ca="1">TODAY()</f>
        <v>41418</v>
      </c>
      <c r="E6" s="165"/>
      <c r="H6" s="74"/>
    </row>
    <row r="7" spans="1:8" s="48" customFormat="1" ht="14.1" customHeight="1">
      <c r="A7" s="104" t="s">
        <v>15</v>
      </c>
      <c r="B7" s="230" t="s">
        <v>1</v>
      </c>
      <c r="C7" s="230"/>
      <c r="D7" s="153">
        <v>1</v>
      </c>
      <c r="E7" s="153"/>
      <c r="H7" s="74"/>
    </row>
    <row r="8" spans="1:8" s="48" customFormat="1" ht="14.1" customHeight="1">
      <c r="A8" s="112" t="s">
        <v>16</v>
      </c>
      <c r="B8" s="167"/>
      <c r="C8" s="167"/>
      <c r="D8" s="110"/>
      <c r="E8" s="110"/>
      <c r="H8" s="74"/>
    </row>
    <row r="9" spans="1:8" s="48" customFormat="1" ht="14.1" customHeight="1">
      <c r="A9" s="167"/>
      <c r="B9" s="167"/>
      <c r="C9" s="167"/>
      <c r="D9" s="167"/>
      <c r="E9" s="167"/>
      <c r="H9" s="74"/>
    </row>
    <row r="10" spans="1:8" s="48" customFormat="1" ht="14.1" customHeight="1">
      <c r="A10" s="68"/>
      <c r="B10" s="109"/>
      <c r="C10" s="75" t="s">
        <v>3</v>
      </c>
      <c r="D10" s="153">
        <f>Estimate!F10</f>
        <v>0</v>
      </c>
      <c r="E10" s="153"/>
      <c r="H10" s="74"/>
    </row>
    <row r="11" spans="1:8" s="48" customFormat="1" ht="14.1" customHeight="1">
      <c r="A11" s="52"/>
      <c r="B11" s="109"/>
      <c r="D11" s="153">
        <f>Estimate!F11</f>
        <v>0</v>
      </c>
      <c r="E11" s="153"/>
      <c r="H11" s="74"/>
    </row>
    <row r="12" spans="1:8" s="48" customFormat="1" ht="14.1" customHeight="1">
      <c r="B12" s="109"/>
      <c r="D12" s="153">
        <f>Estimate!F12</f>
        <v>0</v>
      </c>
      <c r="E12" s="153"/>
      <c r="H12" s="74"/>
    </row>
    <row r="13" spans="1:8" s="48" customFormat="1" ht="14.1" customHeight="1">
      <c r="B13" s="109"/>
      <c r="D13" s="153">
        <f>Estimate!F13</f>
        <v>0</v>
      </c>
      <c r="E13" s="153"/>
      <c r="H13" s="74"/>
    </row>
    <row r="14" spans="1:8" s="48" customFormat="1" ht="14.1" customHeight="1">
      <c r="B14" s="109"/>
      <c r="D14" s="153"/>
      <c r="E14" s="153"/>
      <c r="H14" s="74"/>
    </row>
    <row r="15" spans="1:8" s="48" customFormat="1" ht="14.1" customHeight="1" thickBot="1">
      <c r="B15" s="109"/>
      <c r="D15" s="104"/>
      <c r="E15" s="104"/>
      <c r="H15" s="74"/>
    </row>
    <row r="16" spans="1:8" s="48" customFormat="1" ht="14.1" customHeight="1">
      <c r="A16" s="143" t="s">
        <v>29</v>
      </c>
      <c r="B16"/>
      <c r="C16"/>
      <c r="D16"/>
      <c r="E16"/>
      <c r="F16" s="67"/>
      <c r="G16" s="67"/>
      <c r="H16" s="74"/>
    </row>
    <row r="17" spans="1:8" s="48" customFormat="1" ht="14.1" customHeight="1">
      <c r="A17" s="149">
        <f>IF(Estimate!A17&gt;0,Estimate!A17,"")</f>
        <v>1</v>
      </c>
      <c r="B17"/>
      <c r="C17"/>
      <c r="D17"/>
      <c r="E17"/>
      <c r="F17" s="67"/>
      <c r="G17" s="67"/>
      <c r="H17" s="74"/>
    </row>
    <row r="18" spans="1:8" s="48" customFormat="1" ht="14.1" customHeight="1" thickBot="1">
      <c r="A18" s="182"/>
      <c r="B18" s="182"/>
      <c r="C18" s="182"/>
      <c r="D18" s="182"/>
      <c r="E18" s="182"/>
      <c r="H18" s="74"/>
    </row>
    <row r="19" spans="1:8" ht="15.95" customHeight="1">
      <c r="A19" s="66" t="s">
        <v>11</v>
      </c>
      <c r="B19" s="228" t="s">
        <v>26</v>
      </c>
      <c r="C19" s="229"/>
      <c r="D19" s="222" t="s">
        <v>12</v>
      </c>
      <c r="E19" s="223"/>
    </row>
    <row r="20" spans="1:8" ht="15.95" customHeight="1">
      <c r="A20" s="65" t="str">
        <f>IF(Estimate!A20&gt;0,Estimate!A20,"")</f>
        <v>UPS</v>
      </c>
      <c r="B20" s="224" t="str">
        <f>IF(Estimate!D20&gt;0,Estimate!D20,"")</f>
        <v>UPS Brown</v>
      </c>
      <c r="C20" s="225"/>
      <c r="D20" s="219" t="str">
        <f>IF(Estimate!H20&gt;0,Estimate!H20,"")</f>
        <v>30 Days ARO</v>
      </c>
      <c r="E20" s="220"/>
    </row>
    <row r="21" spans="1:8" ht="15.95" customHeight="1" thickBot="1">
      <c r="A21" s="221"/>
      <c r="B21" s="182"/>
      <c r="C21" s="182"/>
      <c r="D21" s="182"/>
      <c r="E21" s="182"/>
      <c r="F21" s="182"/>
    </row>
    <row r="22" spans="1:8" ht="15.95" customHeight="1">
      <c r="A22" s="64" t="s">
        <v>4</v>
      </c>
      <c r="B22" s="226" t="s">
        <v>24</v>
      </c>
      <c r="C22" s="227"/>
      <c r="D22" s="113" t="s">
        <v>2</v>
      </c>
      <c r="E22" s="113" t="s">
        <v>6</v>
      </c>
    </row>
    <row r="23" spans="1:8" ht="15.95" customHeight="1">
      <c r="A23" s="72">
        <f>Estimate!B23</f>
        <v>0</v>
      </c>
      <c r="B23" s="217" t="str">
        <f>IF(Estimate!D23&gt;0,Estimate!D23,"")</f>
        <v/>
      </c>
      <c r="C23" s="218"/>
      <c r="D23" s="76" t="str">
        <f>Estimate!I23</f>
        <v/>
      </c>
      <c r="E23" s="61" t="str">
        <f t="shared" ref="E23:E38" si="0">IF(SUM(A23)&gt;0,SUM(A23*D23),"")</f>
        <v/>
      </c>
    </row>
    <row r="24" spans="1:8" ht="15.95" customHeight="1">
      <c r="A24" s="72">
        <f>Estimate!B24</f>
        <v>0</v>
      </c>
      <c r="B24" s="217" t="str">
        <f>IF(Estimate!D24&gt;0,Estimate!D24,"")</f>
        <v/>
      </c>
      <c r="C24" s="218"/>
      <c r="D24" s="76" t="str">
        <f>Estimate!I24</f>
        <v/>
      </c>
      <c r="E24" s="61" t="str">
        <f t="shared" si="0"/>
        <v/>
      </c>
    </row>
    <row r="25" spans="1:8" ht="15.95" customHeight="1">
      <c r="A25" s="72">
        <f>Estimate!B25</f>
        <v>0</v>
      </c>
      <c r="B25" s="217" t="str">
        <f>IF(Estimate!D25&gt;0,Estimate!D25,"")</f>
        <v/>
      </c>
      <c r="C25" s="218"/>
      <c r="D25" s="76" t="str">
        <f>Estimate!I25</f>
        <v/>
      </c>
      <c r="E25" s="61" t="str">
        <f t="shared" si="0"/>
        <v/>
      </c>
    </row>
    <row r="26" spans="1:8" ht="15.95" customHeight="1">
      <c r="A26" s="72">
        <f>Estimate!B26</f>
        <v>0</v>
      </c>
      <c r="B26" s="217" t="str">
        <f>IF(Estimate!D26&gt;0,Estimate!D26,"")</f>
        <v/>
      </c>
      <c r="C26" s="218"/>
      <c r="D26" s="76" t="str">
        <f>Estimate!I26</f>
        <v/>
      </c>
      <c r="E26" s="61" t="str">
        <f t="shared" si="0"/>
        <v/>
      </c>
    </row>
    <row r="27" spans="1:8" ht="15.95" customHeight="1">
      <c r="A27" s="72">
        <f>Estimate!B27</f>
        <v>0</v>
      </c>
      <c r="B27" s="217" t="str">
        <f>IF(Estimate!D27&gt;0,Estimate!D27,"")</f>
        <v/>
      </c>
      <c r="C27" s="218"/>
      <c r="D27" s="76" t="str">
        <f>Estimate!I27</f>
        <v/>
      </c>
      <c r="E27" s="61" t="str">
        <f t="shared" si="0"/>
        <v/>
      </c>
    </row>
    <row r="28" spans="1:8" ht="15.95" customHeight="1">
      <c r="A28" s="72">
        <f>Estimate!B28</f>
        <v>0</v>
      </c>
      <c r="B28" s="217" t="str">
        <f>IF(Estimate!D28&gt;0,Estimate!D28,"")</f>
        <v/>
      </c>
      <c r="C28" s="218"/>
      <c r="D28" s="76" t="str">
        <f>Estimate!I28</f>
        <v/>
      </c>
      <c r="E28" s="61" t="str">
        <f t="shared" si="0"/>
        <v/>
      </c>
    </row>
    <row r="29" spans="1:8" ht="15.95" customHeight="1">
      <c r="A29" s="72">
        <f>Estimate!B29</f>
        <v>0</v>
      </c>
      <c r="B29" s="217" t="str">
        <f>IF(Estimate!D29&gt;0,Estimate!D29,"")</f>
        <v/>
      </c>
      <c r="C29" s="218"/>
      <c r="D29" s="76" t="str">
        <f>Estimate!I29</f>
        <v/>
      </c>
      <c r="E29" s="61" t="str">
        <f t="shared" si="0"/>
        <v/>
      </c>
    </row>
    <row r="30" spans="1:8" ht="15.95" customHeight="1">
      <c r="A30" s="72">
        <f>Estimate!B30</f>
        <v>0</v>
      </c>
      <c r="B30" s="217" t="str">
        <f>IF(Estimate!D30&gt;0,Estimate!D30,"")</f>
        <v/>
      </c>
      <c r="C30" s="218"/>
      <c r="D30" s="76" t="str">
        <f>Estimate!I30</f>
        <v/>
      </c>
      <c r="E30" s="61" t="str">
        <f t="shared" si="0"/>
        <v/>
      </c>
    </row>
    <row r="31" spans="1:8" ht="15.95" customHeight="1">
      <c r="A31" s="72">
        <f>Estimate!B31</f>
        <v>0</v>
      </c>
      <c r="B31" s="217" t="str">
        <f>IF(Estimate!D31&gt;0,Estimate!D31,"")</f>
        <v/>
      </c>
      <c r="C31" s="218"/>
      <c r="D31" s="76" t="str">
        <f>Estimate!I31</f>
        <v/>
      </c>
      <c r="E31" s="61" t="str">
        <f t="shared" si="0"/>
        <v/>
      </c>
    </row>
    <row r="32" spans="1:8" ht="15.95" customHeight="1">
      <c r="A32" s="72">
        <f>Estimate!B32</f>
        <v>0</v>
      </c>
      <c r="B32" s="217" t="str">
        <f>IF(Estimate!D32&gt;0,Estimate!D32,"")</f>
        <v/>
      </c>
      <c r="C32" s="218"/>
      <c r="D32" s="76" t="str">
        <f>Estimate!I32</f>
        <v/>
      </c>
      <c r="E32" s="61" t="str">
        <f t="shared" si="0"/>
        <v/>
      </c>
    </row>
    <row r="33" spans="1:6" ht="15.95" customHeight="1">
      <c r="A33" s="72">
        <f>Estimate!B33</f>
        <v>0</v>
      </c>
      <c r="B33" s="217" t="str">
        <f>IF(Estimate!D33&gt;0,Estimate!D33,"")</f>
        <v/>
      </c>
      <c r="C33" s="218"/>
      <c r="D33" s="76" t="str">
        <f>Estimate!I33</f>
        <v/>
      </c>
      <c r="E33" s="61" t="str">
        <f t="shared" si="0"/>
        <v/>
      </c>
    </row>
    <row r="34" spans="1:6" ht="15.95" customHeight="1">
      <c r="A34" s="72">
        <f>Estimate!B34</f>
        <v>0</v>
      </c>
      <c r="B34" s="217" t="str">
        <f>IF(Estimate!D34&gt;0,Estimate!D34,"")</f>
        <v/>
      </c>
      <c r="C34" s="218"/>
      <c r="D34" s="76" t="str">
        <f>Estimate!I34</f>
        <v/>
      </c>
      <c r="E34" s="61" t="str">
        <f t="shared" si="0"/>
        <v/>
      </c>
    </row>
    <row r="35" spans="1:6" ht="15.95" customHeight="1">
      <c r="A35" s="72">
        <f>Estimate!B35</f>
        <v>0</v>
      </c>
      <c r="B35" s="217" t="str">
        <f>IF(Estimate!D35&gt;0,Estimate!D35,"")</f>
        <v/>
      </c>
      <c r="C35" s="218"/>
      <c r="D35" s="76" t="str">
        <f>Estimate!I35</f>
        <v/>
      </c>
      <c r="E35" s="61" t="str">
        <f t="shared" si="0"/>
        <v/>
      </c>
    </row>
    <row r="36" spans="1:6" ht="15.95" customHeight="1">
      <c r="A36" s="72">
        <f>Estimate!B36</f>
        <v>0</v>
      </c>
      <c r="B36" s="217" t="str">
        <f>IF(Estimate!D36&gt;0,Estimate!D36,"")</f>
        <v/>
      </c>
      <c r="C36" s="218"/>
      <c r="D36" s="76" t="str">
        <f>Estimate!I36</f>
        <v/>
      </c>
      <c r="E36" s="61" t="str">
        <f t="shared" si="0"/>
        <v/>
      </c>
    </row>
    <row r="37" spans="1:6" ht="15.95" customHeight="1">
      <c r="A37" s="72">
        <f>Estimate!B37</f>
        <v>0</v>
      </c>
      <c r="B37" s="217" t="str">
        <f>IF(Estimate!D37&gt;0,Estimate!D37,"")</f>
        <v/>
      </c>
      <c r="C37" s="218"/>
      <c r="D37" s="76" t="str">
        <f>Estimate!I37</f>
        <v/>
      </c>
      <c r="E37" s="61" t="str">
        <f t="shared" si="0"/>
        <v/>
      </c>
    </row>
    <row r="38" spans="1:6" ht="15.95" customHeight="1">
      <c r="A38" s="135">
        <f>Estimate!B38</f>
        <v>0</v>
      </c>
      <c r="B38" s="236" t="str">
        <f>IF(Estimate!D38&gt;0,Estimate!D38,"")</f>
        <v/>
      </c>
      <c r="C38" s="237"/>
      <c r="D38" s="76" t="str">
        <f>Estimate!I38</f>
        <v/>
      </c>
      <c r="E38" s="61" t="str">
        <f t="shared" si="0"/>
        <v/>
      </c>
    </row>
    <row r="39" spans="1:6" ht="15.95" customHeight="1">
      <c r="A39" s="128"/>
      <c r="B39" s="128"/>
      <c r="C39" s="128"/>
      <c r="D39" s="57" t="s">
        <v>7</v>
      </c>
      <c r="E39" s="60" t="str">
        <f>IF(SUM(E23:E38)&gt;0,SUM(E23:E38),"")</f>
        <v/>
      </c>
    </row>
    <row r="40" spans="1:6" ht="15.95" customHeight="1">
      <c r="A40" s="58"/>
      <c r="B40" s="58"/>
      <c r="C40" s="58"/>
      <c r="D40" s="57" t="s">
        <v>8</v>
      </c>
      <c r="E40" s="59" t="str">
        <f>IF(SUM(E39)&gt;0, (E39*Estimate!C41),"")</f>
        <v/>
      </c>
    </row>
    <row r="41" spans="1:6" ht="15.95" customHeight="1">
      <c r="A41" s="233"/>
      <c r="B41" s="233"/>
      <c r="C41" s="58"/>
      <c r="D41" s="34" t="s">
        <v>28</v>
      </c>
      <c r="E41" s="137" t="str">
        <f>Estimate!J41</f>
        <v/>
      </c>
    </row>
    <row r="42" spans="1:6" ht="15.95" customHeight="1">
      <c r="A42" s="174"/>
      <c r="B42" s="174"/>
      <c r="C42" s="58"/>
      <c r="D42" s="57" t="str">
        <f>Estimate!I42</f>
        <v>SHIPPING</v>
      </c>
      <c r="E42" s="136" t="str">
        <f>IF(Estimate!J42&gt;0,Estimate!J42,"")</f>
        <v/>
      </c>
    </row>
    <row r="43" spans="1:6" ht="15.95" customHeight="1">
      <c r="A43" s="176" t="str">
        <f>IF(SUM(D43)&gt;0,SUM((D43*#REF!)+D43),"")</f>
        <v/>
      </c>
      <c r="B43" s="176"/>
      <c r="C43" s="31"/>
      <c r="D43" s="57" t="s">
        <v>9</v>
      </c>
      <c r="E43" s="124" t="str">
        <f>IF(SUM(E39)&gt;0, SUM(E39:E42),"")</f>
        <v/>
      </c>
      <c r="F43" s="31"/>
    </row>
    <row r="44" spans="1:6" ht="15.95" customHeight="1">
      <c r="A44" s="31"/>
      <c r="B44" s="31"/>
      <c r="C44" s="31"/>
      <c r="D44" s="33"/>
      <c r="E44" s="33"/>
      <c r="F44" s="33"/>
    </row>
    <row r="45" spans="1:6" ht="15.95" customHeight="1">
      <c r="A45" s="31"/>
      <c r="B45" s="31"/>
      <c r="C45" s="31"/>
      <c r="D45" s="232" t="s">
        <v>13</v>
      </c>
      <c r="E45" s="232"/>
      <c r="F45" s="114"/>
    </row>
    <row r="46" spans="1:6" ht="15.95" customHeight="1">
      <c r="A46" s="31"/>
      <c r="B46" s="31"/>
      <c r="C46" s="31"/>
      <c r="D46" s="31"/>
      <c r="E46" s="31"/>
      <c r="F46" s="31"/>
    </row>
    <row r="47" spans="1:6" ht="15.95" customHeight="1">
      <c r="A47" s="31"/>
      <c r="B47" s="31"/>
      <c r="C47" s="31"/>
      <c r="D47" s="31"/>
      <c r="E47" s="31"/>
      <c r="F47" s="31"/>
    </row>
    <row r="48" spans="1:6" ht="10.5" customHeight="1"/>
    <row r="49" spans="1:5">
      <c r="A49" s="30"/>
      <c r="B49" s="29"/>
      <c r="C49" s="29"/>
      <c r="D49" s="29"/>
      <c r="E49" s="29"/>
    </row>
  </sheetData>
  <mergeCells count="41">
    <mergeCell ref="D13:E13"/>
    <mergeCell ref="B2:E2"/>
    <mergeCell ref="B3:E3"/>
    <mergeCell ref="A4:E4"/>
    <mergeCell ref="D5:E5"/>
    <mergeCell ref="D6:E6"/>
    <mergeCell ref="B7:C7"/>
    <mergeCell ref="D7:E7"/>
    <mergeCell ref="B8:C8"/>
    <mergeCell ref="A9:E9"/>
    <mergeCell ref="D10:E10"/>
    <mergeCell ref="D11:E11"/>
    <mergeCell ref="D12:E12"/>
    <mergeCell ref="B24:C24"/>
    <mergeCell ref="D14:E14"/>
    <mergeCell ref="A18:E18"/>
    <mergeCell ref="B19:C19"/>
    <mergeCell ref="D19:E19"/>
    <mergeCell ref="B20:C20"/>
    <mergeCell ref="D20:E20"/>
    <mergeCell ref="A21:F21"/>
    <mergeCell ref="B22:C22"/>
    <mergeCell ref="B23:C23"/>
    <mergeCell ref="B36:C36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5:C35"/>
    <mergeCell ref="D45:E45"/>
    <mergeCell ref="B37:C37"/>
    <mergeCell ref="B38:C38"/>
    <mergeCell ref="A41:B41"/>
    <mergeCell ref="A42:B42"/>
    <mergeCell ref="A43:B43"/>
  </mergeCells>
  <hyperlinks>
    <hyperlink ref="A8" r:id="rId1"/>
  </hyperlinks>
  <printOptions horizontalCentered="1"/>
  <pageMargins left="0.75" right="0.75" top="0.5" bottom="0.5" header="0.5" footer="0.5"/>
  <pageSetup scale="89" orientation="portrait" r:id="rId2"/>
  <headerFooter alignWithMargins="0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>
    <tabColor rgb="FFFF0000"/>
  </sheetPr>
  <dimension ref="A1:D16"/>
  <sheetViews>
    <sheetView workbookViewId="0">
      <selection activeCell="A29" sqref="A29"/>
    </sheetView>
  </sheetViews>
  <sheetFormatPr defaultRowHeight="12.75"/>
  <cols>
    <col min="1" max="1" width="33" style="73" customWidth="1"/>
    <col min="2" max="2" width="9.85546875" style="73" customWidth="1"/>
    <col min="3" max="3" width="8.7109375" style="77" customWidth="1"/>
    <col min="4" max="16384" width="9.140625" style="73"/>
  </cols>
  <sheetData>
    <row r="1" spans="1:4">
      <c r="A1" s="118" t="s">
        <v>37</v>
      </c>
      <c r="B1" s="119" t="s">
        <v>36</v>
      </c>
      <c r="C1" s="120" t="s">
        <v>35</v>
      </c>
      <c r="D1" s="121" t="s">
        <v>34</v>
      </c>
    </row>
    <row r="2" spans="1:4">
      <c r="A2" s="89"/>
      <c r="B2" s="79"/>
      <c r="C2" s="80"/>
      <c r="D2" s="79">
        <f t="shared" ref="D2:D15" si="0">B2*C2</f>
        <v>0</v>
      </c>
    </row>
    <row r="3" spans="1:4">
      <c r="A3" s="90"/>
      <c r="B3" s="81"/>
      <c r="C3" s="82"/>
      <c r="D3" s="81">
        <f t="shared" si="0"/>
        <v>0</v>
      </c>
    </row>
    <row r="4" spans="1:4">
      <c r="A4" s="89"/>
      <c r="B4" s="79"/>
      <c r="C4" s="80"/>
      <c r="D4" s="79">
        <f t="shared" si="0"/>
        <v>0</v>
      </c>
    </row>
    <row r="5" spans="1:4">
      <c r="A5" s="90"/>
      <c r="B5" s="81"/>
      <c r="C5" s="82"/>
      <c r="D5" s="81">
        <f t="shared" si="0"/>
        <v>0</v>
      </c>
    </row>
    <row r="6" spans="1:4">
      <c r="A6" s="89"/>
      <c r="B6" s="79"/>
      <c r="C6" s="80"/>
      <c r="D6" s="79">
        <f t="shared" si="0"/>
        <v>0</v>
      </c>
    </row>
    <row r="7" spans="1:4">
      <c r="A7" s="90"/>
      <c r="B7" s="81"/>
      <c r="C7" s="82"/>
      <c r="D7" s="81">
        <f t="shared" si="0"/>
        <v>0</v>
      </c>
    </row>
    <row r="8" spans="1:4">
      <c r="A8" s="86"/>
      <c r="B8" s="79"/>
      <c r="C8" s="80"/>
      <c r="D8" s="79">
        <f t="shared" si="0"/>
        <v>0</v>
      </c>
    </row>
    <row r="9" spans="1:4">
      <c r="A9" s="87"/>
      <c r="B9" s="81"/>
      <c r="C9" s="82"/>
      <c r="D9" s="81">
        <f t="shared" si="0"/>
        <v>0</v>
      </c>
    </row>
    <row r="10" spans="1:4">
      <c r="A10" s="86"/>
      <c r="B10" s="79"/>
      <c r="C10" s="80"/>
      <c r="D10" s="79">
        <f t="shared" si="0"/>
        <v>0</v>
      </c>
    </row>
    <row r="11" spans="1:4">
      <c r="A11" s="87"/>
      <c r="B11" s="81"/>
      <c r="C11" s="82"/>
      <c r="D11" s="81">
        <f t="shared" si="0"/>
        <v>0</v>
      </c>
    </row>
    <row r="12" spans="1:4">
      <c r="A12" s="86"/>
      <c r="B12" s="79"/>
      <c r="C12" s="80"/>
      <c r="D12" s="79">
        <f t="shared" si="0"/>
        <v>0</v>
      </c>
    </row>
    <row r="13" spans="1:4">
      <c r="A13" s="87"/>
      <c r="B13" s="81"/>
      <c r="C13" s="82"/>
      <c r="D13" s="81">
        <f t="shared" si="0"/>
        <v>0</v>
      </c>
    </row>
    <row r="14" spans="1:4">
      <c r="A14" s="86"/>
      <c r="B14" s="79"/>
      <c r="C14" s="80"/>
      <c r="D14" s="79">
        <f t="shared" si="0"/>
        <v>0</v>
      </c>
    </row>
    <row r="15" spans="1:4">
      <c r="A15" s="88"/>
      <c r="B15" s="83"/>
      <c r="C15" s="84"/>
      <c r="D15" s="83">
        <f t="shared" si="0"/>
        <v>0</v>
      </c>
    </row>
    <row r="16" spans="1:4">
      <c r="C16" s="85" t="s">
        <v>33</v>
      </c>
      <c r="D16" s="78">
        <f>SUM(D2:D15)</f>
        <v>0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Estimate</vt:lpstr>
      <vt:lpstr>Purchase Order</vt:lpstr>
      <vt:lpstr>Quote</vt:lpstr>
      <vt:lpstr>Invoice</vt:lpstr>
      <vt:lpstr>Labor</vt:lpstr>
      <vt:lpstr>Estimate!Print_Area</vt:lpstr>
      <vt:lpstr>Invoice!Print_Area</vt:lpstr>
      <vt:lpstr>'Purchase Order'!Print_Area</vt:lpstr>
      <vt:lpstr>Quote!Print_Area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Stevens</dc:creator>
  <cp:lastModifiedBy>%username%</cp:lastModifiedBy>
  <cp:lastPrinted>2013-05-22T13:37:51Z</cp:lastPrinted>
  <dcterms:created xsi:type="dcterms:W3CDTF">2006-01-23T19:37:33Z</dcterms:created>
  <dcterms:modified xsi:type="dcterms:W3CDTF">2013-05-24T15:55:03Z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TC101514071033</vt:lpwstr>
  </property>
</Properties>
</file>